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_reports" sheetId="1" r:id="rId5"/>
    <sheet state="visible" name="Sheet1" sheetId="2" r:id="rId6"/>
    <sheet state="visible" name="25 WT Data" sheetId="3" r:id="rId7"/>
    <sheet state="visible" name="25 CFD Data" sheetId="4" r:id="rId8"/>
    <sheet state="visible" name="26CFDDATA" sheetId="5" r:id="rId9"/>
  </sheets>
  <definedNames/>
  <calcPr/>
</workbook>
</file>

<file path=xl/sharedStrings.xml><?xml version="1.0" encoding="utf-8"?>
<sst xmlns="http://schemas.openxmlformats.org/spreadsheetml/2006/main" count="975" uniqueCount="226">
  <si>
    <t>source_file</t>
  </si>
  <si>
    <t>yaw</t>
  </si>
  <si>
    <t>velocity</t>
  </si>
  <si>
    <t>Downforce ALL</t>
  </si>
  <si>
    <t>Drag ALL</t>
  </si>
  <si>
    <t>-Cl</t>
  </si>
  <si>
    <t>Cd</t>
  </si>
  <si>
    <t>ClA</t>
  </si>
  <si>
    <t>CdA</t>
  </si>
  <si>
    <t>Aerodynamic Efficiency</t>
  </si>
  <si>
    <t>Percent downforce on front tire</t>
  </si>
  <si>
    <t>Percent downforce on rear tire</t>
  </si>
  <si>
    <t>Cl Mean</t>
  </si>
  <si>
    <t>Cl Variance</t>
  </si>
  <si>
    <t>Cl CoV</t>
  </si>
  <si>
    <t>Cd Mean</t>
  </si>
  <si>
    <t>Cd Variance</t>
  </si>
  <si>
    <t>Cd CoV</t>
  </si>
  <si>
    <t>AeroBalance Mean</t>
  </si>
  <si>
    <t>AeroBalance Variance</t>
  </si>
  <si>
    <t>26 CFD DATA</t>
  </si>
  <si>
    <t>AeroBalance CoV</t>
  </si>
  <si>
    <t>Downforce Front Wing ALL</t>
  </si>
  <si>
    <t>Drag Front Wing ALL</t>
  </si>
  <si>
    <t>Downforce wing front 1</t>
  </si>
  <si>
    <t>Downforce wing front 2</t>
  </si>
  <si>
    <t>Downforce wing front 3</t>
  </si>
  <si>
    <t>Downforce wing front 4</t>
  </si>
  <si>
    <t>Downforce wing front 5</t>
  </si>
  <si>
    <t>Drag wing front 1</t>
  </si>
  <si>
    <t>Drag wing front 2</t>
  </si>
  <si>
    <t>Drag wing front 3</t>
  </si>
  <si>
    <t>Drag wing front 4</t>
  </si>
  <si>
    <t>Drag wing front 5</t>
  </si>
  <si>
    <t>Downforce wing front end plate 1</t>
  </si>
  <si>
    <t>Downforce wing front end plate 2</t>
  </si>
  <si>
    <t>Downforce wing front end plate 3</t>
  </si>
  <si>
    <t>Drag wing front end plate 1</t>
  </si>
  <si>
    <t>Drag wing front end plate 2</t>
  </si>
  <si>
    <t>Drag wing front end plate 3</t>
  </si>
  <si>
    <t>Downforce Jacking Bar</t>
  </si>
  <si>
    <t>Sim ID</t>
  </si>
  <si>
    <t>Drag Jacking Bar</t>
  </si>
  <si>
    <t>Velocity</t>
  </si>
  <si>
    <t>Downforce Rear Wing ALL</t>
  </si>
  <si>
    <t>Drag Rear Wing ALL</t>
  </si>
  <si>
    <t>Downforce wing rear 1</t>
  </si>
  <si>
    <t>Yaw Angle</t>
  </si>
  <si>
    <t>Run by</t>
  </si>
  <si>
    <t>Downforce wing rear 2</t>
  </si>
  <si>
    <t>Downforce wing rear 3</t>
  </si>
  <si>
    <t>CFD CL</t>
  </si>
  <si>
    <t>Downforce wing rear 4</t>
  </si>
  <si>
    <t>Downforce wing rear 5</t>
  </si>
  <si>
    <t>Drag wing rear 1</t>
  </si>
  <si>
    <t>Drag wing rear 2</t>
  </si>
  <si>
    <t>Drag wing rear 3</t>
  </si>
  <si>
    <t>Drag wing rear 4</t>
  </si>
  <si>
    <t>Drag wing rear 5</t>
  </si>
  <si>
    <t>Downforce wing rear end plate</t>
  </si>
  <si>
    <t>Drag wing rear end plate</t>
  </si>
  <si>
    <t>Downforce Sidepods</t>
  </si>
  <si>
    <t>Drag Sidepods</t>
  </si>
  <si>
    <t>Downforce wing side 1</t>
  </si>
  <si>
    <t>Downforce wing side 2</t>
  </si>
  <si>
    <t>Downforce wing side 3</t>
  </si>
  <si>
    <t>Downforce wing side 4</t>
  </si>
  <si>
    <t>Drag wing side 1</t>
  </si>
  <si>
    <t>Drag wing side 2</t>
  </si>
  <si>
    <t>Drag wing side 3</t>
  </si>
  <si>
    <t>Drag wing side 4</t>
  </si>
  <si>
    <t>Downforce Suspension Covers</t>
  </si>
  <si>
    <t>Drag Suspension Covers</t>
  </si>
  <si>
    <t>Downforce Moustaches</t>
  </si>
  <si>
    <t>Drag Moustaches</t>
  </si>
  <si>
    <t>Downforce Diffuser</t>
  </si>
  <si>
    <t>Drag Diffuser</t>
  </si>
  <si>
    <t>Downforce Chassis</t>
  </si>
  <si>
    <t>Drag Chassis</t>
  </si>
  <si>
    <t>Downforce Center body</t>
  </si>
  <si>
    <t>Drag Center body</t>
  </si>
  <si>
    <t>Nosecone Cl</t>
  </si>
  <si>
    <t>Nosecone Cd</t>
  </si>
  <si>
    <t>Nosecone FA</t>
  </si>
  <si>
    <t>Downforce Suspension</t>
  </si>
  <si>
    <t>Drag Suspension</t>
  </si>
  <si>
    <t>Downforce Powertrain</t>
  </si>
  <si>
    <t>Drag Powertrain</t>
  </si>
  <si>
    <t>Downforce Mounts</t>
  </si>
  <si>
    <t>Drag Mounts</t>
  </si>
  <si>
    <t>Downforce Intake manifold</t>
  </si>
  <si>
    <t>Drag Intake manifold</t>
  </si>
  <si>
    <t>Drag wheel front</t>
  </si>
  <si>
    <t>Drag wheel rear</t>
  </si>
  <si>
    <t>Front Tire Drag</t>
  </si>
  <si>
    <t>Drag driver</t>
  </si>
  <si>
    <t>Drag head rest</t>
  </si>
  <si>
    <t>Downforce Radiator Shrouds</t>
  </si>
  <si>
    <t>Drag Radiator Shrouds</t>
  </si>
  <si>
    <t>Radiator Mass Flow</t>
  </si>
  <si>
    <t>Surface Average Fan Velocity</t>
  </si>
  <si>
    <t>Fan volumetric flow rate</t>
  </si>
  <si>
    <t>Mass Flow of fan</t>
  </si>
  <si>
    <t>Force_x</t>
  </si>
  <si>
    <t>Force_y</t>
  </si>
  <si>
    <t>XF_Z</t>
  </si>
  <si>
    <t>ZF_X</t>
  </si>
  <si>
    <t>X_Coord</t>
  </si>
  <si>
    <t>Z_Coord</t>
  </si>
  <si>
    <t>Planform area of the car</t>
  </si>
  <si>
    <t>Frontal area of the car</t>
  </si>
  <si>
    <t>Simulation Velocity</t>
  </si>
  <si>
    <t>Density of Air</t>
  </si>
  <si>
    <t>CFL Number</t>
  </si>
  <si>
    <t>Solver Iteration Elapsed Time</t>
  </si>
  <si>
    <t>Total Solver Elapsed Time</t>
  </si>
  <si>
    <t>Average Solver Iteration Time</t>
  </si>
  <si>
    <t>Go4-26_BiggerDomain_FullCar_2__1__-2degyaw_10ms---_Reports.csv</t>
  </si>
  <si>
    <t>Go4-26_BiggerDomain_FullCar_2_0degyaw_10ms_Reports.csv</t>
  </si>
  <si>
    <t>Residual_Continuity</t>
  </si>
  <si>
    <t>Residual_X-momentum</t>
  </si>
  <si>
    <t>Residual_Y-momentum</t>
  </si>
  <si>
    <t>Residual_Z-momentum</t>
  </si>
  <si>
    <t>Residual_Tke</t>
  </si>
  <si>
    <t>Residual_Sdr</t>
  </si>
  <si>
    <t>Sean</t>
  </si>
  <si>
    <t>Go4-26_BiggerDomain_FullCar_2_zeroyaw_10ms.csv</t>
  </si>
  <si>
    <t>Go4-26_BiggerDomain_FullCar_2_-4degyaw_10ms_Reports.csv</t>
  </si>
  <si>
    <t>Go4-26_BiggerDomain_FullCar_2_zeroyaw_13ms.csv</t>
  </si>
  <si>
    <t>Go4-26_BiggerDomain_FullCar_2_-4degyaw_15ms_Copy_Reports.csv</t>
  </si>
  <si>
    <t>Go4-26_BiggerDomain_FullCar_zeroyaw_18_Reports.csv</t>
  </si>
  <si>
    <t>Go4-26_BiggerDomain_FullCar_2_8degyaw_10ms_Reports.csv</t>
  </si>
  <si>
    <t>Go4-26_BiggerDomain_FullCar_zeroyaw_20_7ms_Reports.csv</t>
  </si>
  <si>
    <t>Go4-26_BiggerDomain_FullCar_2_NEG6degyaw_10ms_Copy_Reports.csv</t>
  </si>
  <si>
    <t>Go4-26_BiggerDomain_FullCar_2_NEG6degyaw_15ms_Reports.csv</t>
  </si>
  <si>
    <t>Edo</t>
  </si>
  <si>
    <t>Go4-26_BiggerDomain_FullCar_2_NEG8degyaw_15ms_Reports.csv</t>
  </si>
  <si>
    <t>Ellie</t>
  </si>
  <si>
    <t>Keegan</t>
  </si>
  <si>
    <t>25 CFD DATA</t>
  </si>
  <si>
    <t>25 WT DATA</t>
  </si>
  <si>
    <t>Run</t>
  </si>
  <si>
    <t xml:space="preserve">Configuration </t>
  </si>
  <si>
    <t>Point</t>
  </si>
  <si>
    <t>Yaw
(°)</t>
  </si>
  <si>
    <r>
      <rPr>
        <rFont val="Arial"/>
        <b/>
        <color theme="1"/>
        <sz val="9.0"/>
      </rPr>
      <t>V</t>
    </r>
    <r>
      <rPr>
        <rFont val="Arial"/>
        <b/>
        <color theme="1"/>
        <sz val="9.0"/>
        <vertAlign val="subscript"/>
      </rPr>
      <t xml:space="preserve">inf
</t>
    </r>
    <r>
      <rPr>
        <rFont val="Arial"/>
        <b/>
        <color theme="1"/>
        <sz val="9.0"/>
      </rPr>
      <t>(mph)</t>
    </r>
  </si>
  <si>
    <t>Vinf
(m/s)</t>
  </si>
  <si>
    <r>
      <rPr>
        <rFont val="Arial"/>
        <b/>
        <color theme="1"/>
        <sz val="9.0"/>
      </rPr>
      <t xml:space="preserve">q </t>
    </r>
    <r>
      <rPr>
        <rFont val="Arial"/>
        <b/>
        <color theme="1"/>
        <sz val="9.0"/>
        <vertAlign val="subscript"/>
      </rPr>
      <t xml:space="preserve">inf
</t>
    </r>
    <r>
      <rPr>
        <rFont val="Arial"/>
        <b/>
        <color theme="1"/>
        <sz val="9.0"/>
      </rPr>
      <t>(psf)</t>
    </r>
  </si>
  <si>
    <t>BLC Prs
(psid)</t>
  </si>
  <si>
    <r>
      <rPr>
        <rFont val="Arial"/>
        <b/>
        <color theme="1"/>
        <sz val="9.0"/>
      </rPr>
      <t>C</t>
    </r>
    <r>
      <rPr>
        <rFont val="Arial"/>
        <b/>
        <color theme="1"/>
        <sz val="9.0"/>
        <vertAlign val="subscript"/>
      </rPr>
      <t>D</t>
    </r>
  </si>
  <si>
    <t>Coeff</t>
  </si>
  <si>
    <r>
      <rPr>
        <rFont val="Arial"/>
        <b/>
        <color theme="1"/>
        <sz val="9.0"/>
      </rPr>
      <t>C</t>
    </r>
    <r>
      <rPr>
        <rFont val="Arial"/>
        <b/>
        <color theme="1"/>
        <sz val="9.0"/>
        <vertAlign val="subscript"/>
      </rPr>
      <t>L</t>
    </r>
  </si>
  <si>
    <r>
      <rPr>
        <rFont val="Arial"/>
        <b/>
        <color theme="1"/>
        <sz val="9.0"/>
      </rPr>
      <t>C</t>
    </r>
    <r>
      <rPr>
        <rFont val="Arial"/>
        <b/>
        <color theme="1"/>
        <sz val="9.0"/>
        <vertAlign val="subscript"/>
      </rPr>
      <t>LF</t>
    </r>
  </si>
  <si>
    <r>
      <rPr>
        <rFont val="Noto Sans Symbols"/>
        <b/>
        <color theme="1"/>
        <sz val="9.0"/>
      </rPr>
      <t>D</t>
    </r>
    <r>
      <rPr>
        <rFont val="Arial"/>
        <b/>
        <color theme="1"/>
        <sz val="9.0"/>
      </rPr>
      <t>C</t>
    </r>
    <r>
      <rPr>
        <rFont val="Arial"/>
        <b/>
        <color theme="1"/>
        <sz val="9.0"/>
        <vertAlign val="subscript"/>
      </rPr>
      <t>LF</t>
    </r>
  </si>
  <si>
    <r>
      <rPr>
        <rFont val="Arial"/>
        <b/>
        <color theme="1"/>
        <sz val="9.0"/>
      </rPr>
      <t>C</t>
    </r>
    <r>
      <rPr>
        <rFont val="Arial"/>
        <b/>
        <color theme="1"/>
        <sz val="9.0"/>
        <vertAlign val="subscript"/>
      </rPr>
      <t>LR</t>
    </r>
  </si>
  <si>
    <r>
      <rPr>
        <rFont val="Noto Sans Symbols"/>
        <b/>
        <color theme="1"/>
        <sz val="9.0"/>
      </rPr>
      <t>D</t>
    </r>
    <r>
      <rPr>
        <rFont val="Arial"/>
        <b/>
        <color theme="1"/>
        <sz val="9.0"/>
      </rPr>
      <t>C</t>
    </r>
    <r>
      <rPr>
        <rFont val="Arial"/>
        <b/>
        <color theme="1"/>
        <sz val="9.0"/>
        <vertAlign val="subscript"/>
      </rPr>
      <t>LR</t>
    </r>
  </si>
  <si>
    <r>
      <rPr>
        <rFont val="Arial"/>
        <b/>
        <color theme="1"/>
        <sz val="9.0"/>
      </rPr>
      <t>C</t>
    </r>
    <r>
      <rPr>
        <rFont val="Arial"/>
        <b/>
        <color theme="1"/>
        <sz val="9.0"/>
        <vertAlign val="subscript"/>
      </rPr>
      <t>L</t>
    </r>
    <r>
      <rPr>
        <rFont val="Arial"/>
        <b/>
        <color theme="1"/>
        <sz val="9.0"/>
      </rPr>
      <t xml:space="preserve"> Bal</t>
    </r>
  </si>
  <si>
    <r>
      <rPr>
        <rFont val="Arial"/>
        <b/>
        <color theme="1"/>
        <sz val="9.0"/>
      </rPr>
      <t>C</t>
    </r>
    <r>
      <rPr>
        <rFont val="Arial"/>
        <b/>
        <color theme="1"/>
        <sz val="9.0"/>
        <vertAlign val="subscript"/>
      </rPr>
      <t>S</t>
    </r>
  </si>
  <si>
    <r>
      <rPr>
        <rFont val="Arial"/>
        <b/>
        <color theme="1"/>
        <sz val="9.0"/>
      </rPr>
      <t>C</t>
    </r>
    <r>
      <rPr>
        <rFont val="Arial"/>
        <b/>
        <color theme="1"/>
        <sz val="9.0"/>
        <vertAlign val="subscript"/>
      </rPr>
      <t>PM</t>
    </r>
  </si>
  <si>
    <r>
      <rPr>
        <rFont val="Arial"/>
        <b/>
        <color theme="1"/>
        <sz val="9.0"/>
      </rPr>
      <t>C</t>
    </r>
    <r>
      <rPr>
        <rFont val="Arial"/>
        <b/>
        <color theme="1"/>
        <sz val="9.0"/>
        <vertAlign val="subscript"/>
      </rPr>
      <t>YM</t>
    </r>
  </si>
  <si>
    <r>
      <rPr>
        <rFont val="Arial"/>
        <b/>
        <color theme="1"/>
        <sz val="9.0"/>
      </rPr>
      <t>C</t>
    </r>
    <r>
      <rPr>
        <rFont val="Arial"/>
        <b/>
        <color theme="1"/>
        <sz val="9.0"/>
        <vertAlign val="subscript"/>
      </rPr>
      <t>RM</t>
    </r>
  </si>
  <si>
    <r>
      <rPr>
        <rFont val="Arial"/>
        <b/>
        <color theme="1"/>
        <sz val="9.0"/>
      </rPr>
      <t xml:space="preserve">q </t>
    </r>
    <r>
      <rPr>
        <rFont val="Arial"/>
        <b val="0"/>
        <color theme="1"/>
        <sz val="9.0"/>
        <vertAlign val="subscript"/>
      </rPr>
      <t>pri</t>
    </r>
    <r>
      <rPr>
        <rFont val="Arial"/>
        <b/>
        <color theme="1"/>
        <sz val="9.0"/>
      </rPr>
      <t xml:space="preserve">/q </t>
    </r>
    <r>
      <rPr>
        <rFont val="Arial"/>
        <b val="0"/>
        <color theme="1"/>
        <sz val="9.0"/>
        <vertAlign val="subscript"/>
      </rPr>
      <t>sec</t>
    </r>
  </si>
  <si>
    <r>
      <rPr>
        <rFont val="Noto Sans Symbols"/>
        <b/>
        <color theme="1"/>
        <sz val="9.0"/>
      </rPr>
      <t>D</t>
    </r>
    <r>
      <rPr>
        <rFont val="Arial"/>
        <b/>
        <color theme="1"/>
        <sz val="9.0"/>
      </rPr>
      <t>C</t>
    </r>
    <r>
      <rPr>
        <rFont val="Arial"/>
        <b/>
        <color theme="1"/>
        <sz val="9.0"/>
        <vertAlign val="subscript"/>
      </rPr>
      <t xml:space="preserve">D
</t>
    </r>
    <r>
      <rPr>
        <rFont val="Arial"/>
        <b/>
        <color theme="1"/>
        <sz val="9.0"/>
      </rPr>
      <t>Pri-Sec</t>
    </r>
  </si>
  <si>
    <t>q 
Control</t>
  </si>
  <si>
    <r>
      <rPr>
        <rFont val="Arial"/>
        <b/>
        <color theme="1"/>
        <sz val="9.0"/>
      </rPr>
      <t>T</t>
    </r>
    <r>
      <rPr>
        <rFont val="Arial"/>
        <b/>
        <color theme="1"/>
        <sz val="9.0"/>
        <vertAlign val="subscript"/>
      </rPr>
      <t xml:space="preserve">inf
</t>
    </r>
    <r>
      <rPr>
        <rFont val="Arial"/>
        <b/>
        <color theme="1"/>
        <sz val="9.0"/>
      </rPr>
      <t>(F)</t>
    </r>
  </si>
  <si>
    <t>RH Set (%)</t>
  </si>
  <si>
    <t>RH Act (%)</t>
  </si>
  <si>
    <r>
      <rPr>
        <rFont val="Arial"/>
        <b/>
        <color theme="1"/>
        <sz val="9.0"/>
      </rPr>
      <t xml:space="preserve">q </t>
    </r>
    <r>
      <rPr>
        <rFont val="Arial"/>
        <b/>
        <color theme="1"/>
        <sz val="9.0"/>
        <vertAlign val="subscript"/>
      </rPr>
      <t xml:space="preserve">inf
</t>
    </r>
    <r>
      <rPr>
        <rFont val="Arial"/>
        <b/>
        <color theme="1"/>
        <sz val="9.0"/>
      </rPr>
      <t>(psf)</t>
    </r>
  </si>
  <si>
    <r>
      <rPr>
        <rFont val="Arial"/>
        <b/>
        <color theme="1"/>
        <sz val="9.0"/>
      </rPr>
      <t>V</t>
    </r>
    <r>
      <rPr>
        <rFont val="Arial"/>
        <b/>
        <color theme="1"/>
        <sz val="9.0"/>
        <vertAlign val="subscript"/>
      </rPr>
      <t xml:space="preserve">inf
</t>
    </r>
    <r>
      <rPr>
        <rFont val="Arial"/>
        <b/>
        <color theme="1"/>
        <sz val="9.0"/>
      </rPr>
      <t>(mph)</t>
    </r>
  </si>
  <si>
    <t>BLC
Status</t>
  </si>
  <si>
    <t>Rose Control</t>
  </si>
  <si>
    <r>
      <rPr>
        <rFont val="Arial"/>
        <b/>
        <color theme="1"/>
        <sz val="9.0"/>
      </rPr>
      <t xml:space="preserve">q </t>
    </r>
    <r>
      <rPr>
        <rFont val="Arial"/>
        <b val="0"/>
        <color theme="1"/>
        <sz val="9.0"/>
        <vertAlign val="subscript"/>
      </rPr>
      <t>pri</t>
    </r>
    <r>
      <rPr>
        <rFont val="Arial"/>
        <b/>
        <color theme="1"/>
        <sz val="9.0"/>
      </rPr>
      <t xml:space="preserve">/q </t>
    </r>
    <r>
      <rPr>
        <rFont val="Arial"/>
        <b val="0"/>
        <color theme="1"/>
        <sz val="9.0"/>
        <vertAlign val="subscript"/>
      </rPr>
      <t>sec</t>
    </r>
  </si>
  <si>
    <r>
      <rPr>
        <rFont val="Noto Sans Symbols"/>
        <b/>
        <color theme="1"/>
        <sz val="9.0"/>
      </rPr>
      <t>D</t>
    </r>
    <r>
      <rPr>
        <rFont val="Arial"/>
        <b/>
        <color theme="1"/>
        <sz val="9.0"/>
      </rPr>
      <t>C</t>
    </r>
    <r>
      <rPr>
        <rFont val="Arial"/>
        <b/>
        <color theme="1"/>
        <sz val="9.0"/>
        <vertAlign val="subscript"/>
      </rPr>
      <t xml:space="preserve">D
</t>
    </r>
    <r>
      <rPr>
        <rFont val="Arial"/>
        <b/>
        <color theme="1"/>
        <sz val="9.0"/>
      </rPr>
      <t>Pri-Sec</t>
    </r>
  </si>
  <si>
    <t>Fan Current</t>
  </si>
  <si>
    <t>Fan RPM</t>
  </si>
  <si>
    <r>
      <rPr>
        <rFont val="Arial"/>
        <b/>
        <color theme="1"/>
        <sz val="9.0"/>
      </rPr>
      <t>A</t>
    </r>
    <r>
      <rPr>
        <rFont val="Arial"/>
        <b/>
        <color theme="1"/>
        <sz val="9.0"/>
        <vertAlign val="subscript"/>
      </rPr>
      <t xml:space="preserve">F
</t>
    </r>
    <r>
      <rPr>
        <rFont val="Arial"/>
        <b/>
        <color theme="1"/>
        <sz val="9.0"/>
      </rPr>
      <t>(m</t>
    </r>
    <r>
      <rPr>
        <rFont val="Arial"/>
        <b/>
        <color theme="1"/>
        <sz val="9.0"/>
        <vertAlign val="superscript"/>
      </rPr>
      <t>2</t>
    </r>
    <r>
      <rPr>
        <rFont val="Arial"/>
        <b/>
        <color theme="1"/>
        <sz val="9.0"/>
      </rPr>
      <t>)</t>
    </r>
  </si>
  <si>
    <t>Drag   (N)</t>
  </si>
  <si>
    <t>Lift  
(N)</t>
  </si>
  <si>
    <t>Lift LF
(N)</t>
  </si>
  <si>
    <t>Lift RF
(N)</t>
  </si>
  <si>
    <t>Lift LR
(N)</t>
  </si>
  <si>
    <t>Lift RR
(N)</t>
  </si>
  <si>
    <t>Side   (N)</t>
  </si>
  <si>
    <t>PM 
(N-m)</t>
  </si>
  <si>
    <t>YM 
(N-m)</t>
  </si>
  <si>
    <t>RM 
(N-m)</t>
  </si>
  <si>
    <t>Check point</t>
  </si>
  <si>
    <r>
      <rPr>
        <rFont val="Arial"/>
        <b/>
        <color theme="1"/>
        <sz val="9.0"/>
      </rPr>
      <t>V</t>
    </r>
    <r>
      <rPr>
        <rFont val="Arial"/>
        <b/>
        <color theme="1"/>
        <sz val="9.0"/>
        <vertAlign val="subscript"/>
      </rPr>
      <t xml:space="preserve">inf
</t>
    </r>
    <r>
      <rPr>
        <rFont val="Arial"/>
        <b/>
        <color theme="1"/>
        <sz val="9.0"/>
      </rPr>
      <t>(mph)</t>
    </r>
  </si>
  <si>
    <r>
      <rPr>
        <rFont val="Arial"/>
        <b/>
        <color theme="1"/>
        <sz val="9.0"/>
      </rPr>
      <t xml:space="preserve">q </t>
    </r>
    <r>
      <rPr>
        <rFont val="Arial"/>
        <b/>
        <color theme="1"/>
        <sz val="9.0"/>
        <vertAlign val="subscript"/>
      </rPr>
      <t xml:space="preserve">inf
</t>
    </r>
    <r>
      <rPr>
        <rFont val="Arial"/>
        <b/>
        <color theme="1"/>
        <sz val="9.0"/>
      </rPr>
      <t>(psf)</t>
    </r>
  </si>
  <si>
    <t>WT CD</t>
  </si>
  <si>
    <t>Correction Coeff</t>
  </si>
  <si>
    <t>WT CL</t>
  </si>
  <si>
    <r>
      <rPr>
        <rFont val="Arial"/>
        <b/>
        <color theme="1"/>
        <sz val="9.0"/>
      </rPr>
      <t>C</t>
    </r>
    <r>
      <rPr>
        <rFont val="Arial"/>
        <b/>
        <color theme="1"/>
        <sz val="9.0"/>
        <vertAlign val="subscript"/>
      </rPr>
      <t>LF</t>
    </r>
  </si>
  <si>
    <t>SEC</t>
  </si>
  <si>
    <r>
      <rPr>
        <rFont val="Noto Sans Symbols"/>
        <b/>
        <color theme="1"/>
        <sz val="9.0"/>
      </rPr>
      <t>D</t>
    </r>
    <r>
      <rPr>
        <rFont val="Arial"/>
        <b/>
        <color theme="1"/>
        <sz val="9.0"/>
      </rPr>
      <t>C</t>
    </r>
    <r>
      <rPr>
        <rFont val="Arial"/>
        <b/>
        <color theme="1"/>
        <sz val="9.0"/>
        <vertAlign val="subscript"/>
      </rPr>
      <t>LF</t>
    </r>
  </si>
  <si>
    <r>
      <rPr>
        <rFont val="Arial"/>
        <b/>
        <color theme="1"/>
        <sz val="9.0"/>
      </rPr>
      <t>C</t>
    </r>
    <r>
      <rPr>
        <rFont val="Arial"/>
        <b/>
        <color theme="1"/>
        <sz val="9.0"/>
        <vertAlign val="subscript"/>
      </rPr>
      <t>LR</t>
    </r>
  </si>
  <si>
    <r>
      <rPr>
        <rFont val="Noto Sans Symbols"/>
        <b/>
        <color theme="1"/>
        <sz val="9.0"/>
      </rPr>
      <t>D</t>
    </r>
    <r>
      <rPr>
        <rFont val="Arial"/>
        <b/>
        <color theme="1"/>
        <sz val="9.0"/>
      </rPr>
      <t>C</t>
    </r>
    <r>
      <rPr>
        <rFont val="Arial"/>
        <b/>
        <color theme="1"/>
        <sz val="9.0"/>
        <vertAlign val="subscript"/>
      </rPr>
      <t>LR</t>
    </r>
  </si>
  <si>
    <r>
      <rPr>
        <rFont val="Arial"/>
        <b/>
        <color theme="1"/>
        <sz val="9.0"/>
      </rPr>
      <t>C</t>
    </r>
    <r>
      <rPr>
        <rFont val="Arial"/>
        <b/>
        <color theme="1"/>
        <sz val="9.0"/>
        <vertAlign val="subscript"/>
      </rPr>
      <t>L</t>
    </r>
    <r>
      <rPr>
        <rFont val="Arial"/>
        <b/>
        <color theme="1"/>
        <sz val="9.0"/>
      </rPr>
      <t xml:space="preserve"> Bal</t>
    </r>
  </si>
  <si>
    <t>DCLB</t>
  </si>
  <si>
    <r>
      <rPr>
        <rFont val="Arial"/>
        <b/>
        <color theme="1"/>
        <sz val="9.0"/>
      </rPr>
      <t>C</t>
    </r>
    <r>
      <rPr>
        <rFont val="Arial"/>
        <b/>
        <color theme="1"/>
        <sz val="9.0"/>
        <vertAlign val="subscript"/>
      </rPr>
      <t>S</t>
    </r>
  </si>
  <si>
    <r>
      <rPr>
        <rFont val="Arial"/>
        <b/>
        <color theme="1"/>
        <sz val="9.0"/>
      </rPr>
      <t>C</t>
    </r>
    <r>
      <rPr>
        <rFont val="Arial"/>
        <b/>
        <color theme="1"/>
        <sz val="9.0"/>
        <vertAlign val="subscript"/>
      </rPr>
      <t>PM</t>
    </r>
  </si>
  <si>
    <r>
      <rPr>
        <rFont val="Arial"/>
        <b/>
        <color theme="1"/>
        <sz val="9.0"/>
      </rPr>
      <t>C</t>
    </r>
    <r>
      <rPr>
        <rFont val="Arial"/>
        <b/>
        <color theme="1"/>
        <sz val="9.0"/>
        <vertAlign val="subscript"/>
      </rPr>
      <t>YM</t>
    </r>
  </si>
  <si>
    <r>
      <rPr>
        <rFont val="Arial"/>
        <b/>
        <color theme="1"/>
        <sz val="9.0"/>
      </rPr>
      <t>C</t>
    </r>
    <r>
      <rPr>
        <rFont val="Arial"/>
        <b/>
        <color theme="1"/>
        <sz val="9.0"/>
        <vertAlign val="subscript"/>
      </rPr>
      <t>RM</t>
    </r>
  </si>
  <si>
    <r>
      <rPr>
        <rFont val="Arial"/>
        <b/>
        <color theme="1"/>
        <sz val="9.0"/>
      </rPr>
      <t xml:space="preserve">q </t>
    </r>
    <r>
      <rPr>
        <rFont val="Arial"/>
        <b val="0"/>
        <color theme="1"/>
        <sz val="9.0"/>
        <vertAlign val="subscript"/>
      </rPr>
      <t>pri</t>
    </r>
    <r>
      <rPr>
        <rFont val="Arial"/>
        <b/>
        <color theme="1"/>
        <sz val="9.0"/>
      </rPr>
      <t xml:space="preserve">/q </t>
    </r>
    <r>
      <rPr>
        <rFont val="Arial"/>
        <b val="0"/>
        <color theme="1"/>
        <sz val="9.0"/>
        <vertAlign val="subscript"/>
      </rPr>
      <t>sec</t>
    </r>
  </si>
  <si>
    <r>
      <rPr>
        <rFont val="Noto Sans Symbols"/>
        <b/>
        <color theme="1"/>
        <sz val="9.0"/>
      </rPr>
      <t>D</t>
    </r>
    <r>
      <rPr>
        <rFont val="Arial"/>
        <b/>
        <color theme="1"/>
        <sz val="9.0"/>
      </rPr>
      <t>C</t>
    </r>
    <r>
      <rPr>
        <rFont val="Arial"/>
        <b/>
        <color theme="1"/>
        <sz val="9.0"/>
        <vertAlign val="subscript"/>
      </rPr>
      <t xml:space="preserve">D
</t>
    </r>
    <r>
      <rPr>
        <rFont val="Arial"/>
        <b/>
        <color theme="1"/>
        <sz val="9.0"/>
      </rPr>
      <t>Pri-Sec</t>
    </r>
  </si>
  <si>
    <t>OFF</t>
  </si>
  <si>
    <r>
      <rPr>
        <rFont val="Arial"/>
        <b/>
        <color theme="1"/>
        <sz val="9.0"/>
      </rPr>
      <t>T</t>
    </r>
    <r>
      <rPr>
        <rFont val="Arial"/>
        <b/>
        <color theme="1"/>
        <sz val="9.0"/>
        <vertAlign val="subscript"/>
      </rPr>
      <t xml:space="preserve">inf
</t>
    </r>
    <r>
      <rPr>
        <rFont val="Arial"/>
        <b/>
        <color theme="1"/>
        <sz val="9.0"/>
      </rPr>
      <t>(F)</t>
    </r>
  </si>
  <si>
    <r>
      <rPr>
        <rFont val="Arial"/>
        <b/>
        <color theme="1"/>
        <sz val="9.0"/>
      </rPr>
      <t xml:space="preserve">q </t>
    </r>
    <r>
      <rPr>
        <rFont val="Arial"/>
        <b/>
        <color theme="1"/>
        <sz val="9.0"/>
        <vertAlign val="subscript"/>
      </rPr>
      <t xml:space="preserve">inf
</t>
    </r>
    <r>
      <rPr>
        <rFont val="Arial"/>
        <b/>
        <color theme="1"/>
        <sz val="9.0"/>
      </rPr>
      <t>(psf)</t>
    </r>
  </si>
  <si>
    <r>
      <rPr>
        <rFont val="Arial"/>
        <b/>
        <color theme="1"/>
        <sz val="9.0"/>
      </rPr>
      <t>V</t>
    </r>
    <r>
      <rPr>
        <rFont val="Arial"/>
        <b/>
        <color theme="1"/>
        <sz val="9.0"/>
        <vertAlign val="subscript"/>
      </rPr>
      <t xml:space="preserve">inf
</t>
    </r>
    <r>
      <rPr>
        <rFont val="Arial"/>
        <b/>
        <color theme="1"/>
        <sz val="9.0"/>
      </rPr>
      <t>(mph)</t>
    </r>
  </si>
  <si>
    <r>
      <rPr>
        <rFont val="Arial"/>
        <b/>
        <color theme="1"/>
        <sz val="9.0"/>
      </rPr>
      <t xml:space="preserve">q </t>
    </r>
    <r>
      <rPr>
        <rFont val="Arial"/>
        <b val="0"/>
        <color theme="1"/>
        <sz val="9.0"/>
        <vertAlign val="subscript"/>
      </rPr>
      <t>pri</t>
    </r>
    <r>
      <rPr>
        <rFont val="Arial"/>
        <b/>
        <color theme="1"/>
        <sz val="9.0"/>
      </rPr>
      <t xml:space="preserve">/q </t>
    </r>
    <r>
      <rPr>
        <rFont val="Arial"/>
        <b val="0"/>
        <color theme="1"/>
        <sz val="9.0"/>
        <vertAlign val="subscript"/>
      </rPr>
      <t>sec</t>
    </r>
  </si>
  <si>
    <t>speed sweep</t>
  </si>
  <si>
    <r>
      <rPr>
        <rFont val="Noto Sans Symbols"/>
        <b/>
        <color theme="1"/>
        <sz val="9.0"/>
      </rPr>
      <t>D</t>
    </r>
    <r>
      <rPr>
        <rFont val="Arial"/>
        <b/>
        <color theme="1"/>
        <sz val="9.0"/>
      </rPr>
      <t>C</t>
    </r>
    <r>
      <rPr>
        <rFont val="Arial"/>
        <b/>
        <color theme="1"/>
        <sz val="9.0"/>
        <vertAlign val="subscript"/>
      </rPr>
      <t xml:space="preserve">D
</t>
    </r>
    <r>
      <rPr>
        <rFont val="Arial"/>
        <b/>
        <color theme="1"/>
        <sz val="9.0"/>
      </rPr>
      <t>Pri-Sec</t>
    </r>
  </si>
  <si>
    <r>
      <rPr>
        <rFont val="Arial"/>
        <b/>
        <color theme="1"/>
        <sz val="9.0"/>
      </rPr>
      <t>A</t>
    </r>
    <r>
      <rPr>
        <rFont val="Arial"/>
        <b/>
        <color theme="1"/>
        <sz val="9.0"/>
        <vertAlign val="subscript"/>
      </rPr>
      <t xml:space="preserve">F
</t>
    </r>
    <r>
      <rPr>
        <rFont val="Arial"/>
        <b/>
        <color theme="1"/>
        <sz val="9.0"/>
      </rPr>
      <t>(m</t>
    </r>
    <r>
      <rPr>
        <rFont val="Arial"/>
        <b/>
        <color theme="1"/>
        <sz val="9.0"/>
        <vertAlign val="superscript"/>
      </rPr>
      <t>2</t>
    </r>
    <r>
      <rPr>
        <rFont val="Arial"/>
        <b/>
        <color theme="1"/>
        <sz val="9.0"/>
      </rPr>
      <t>)</t>
    </r>
  </si>
  <si>
    <t>ON</t>
  </si>
  <si>
    <t>yaw sweep</t>
  </si>
  <si>
    <t>yaw sweep 2</t>
  </si>
  <si>
    <t>2026 CFD CL</t>
  </si>
  <si>
    <t>CL Corrected</t>
  </si>
  <si>
    <t>2026 CFD CD</t>
  </si>
  <si>
    <t>CD Corrected</t>
  </si>
  <si>
    <t>Lift Correction</t>
  </si>
  <si>
    <t>Drag Correction</t>
  </si>
  <si>
    <t>Front Lift Correction</t>
  </si>
  <si>
    <t>Kfw</t>
  </si>
  <si>
    <t>Krw</t>
  </si>
  <si>
    <t>Kside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</si>
</sst>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9.0"/>
      <color theme="1"/>
      <name val="Arial"/>
    </font>
    <font>
      <b/>
      <sz val="9.0"/>
      <color theme="1"/>
      <name val="Noto Sans Symbols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9999"/>
        <bgColor rgb="FFFF9999"/>
      </patternFill>
    </fill>
  </fills>
  <borders count="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3" fontId="2" numFmtId="0" xfId="0" applyAlignment="1" applyFill="1" applyFont="1">
      <alignment vertical="bottom"/>
    </xf>
    <xf borderId="0" fillId="4" fontId="2" numFmtId="0" xfId="0" applyAlignment="1" applyFill="1" applyFont="1">
      <alignment horizontal="right" vertical="bottom"/>
    </xf>
    <xf borderId="0" fillId="5" fontId="1" numFmtId="0" xfId="0" applyAlignment="1" applyFill="1" applyFont="1">
      <alignment readingOrder="0"/>
    </xf>
    <xf borderId="0" fillId="3" fontId="2" numFmtId="0" xfId="0" applyAlignment="1" applyFill="1" applyFont="1">
      <alignment horizontal="right" vertical="bottom"/>
    </xf>
    <xf borderId="0" fillId="3" fontId="2" numFmtId="11" xfId="0" applyAlignment="1" applyFill="1" applyFont="1" applyNumberFormat="1">
      <alignment horizontal="right" vertical="bottom"/>
    </xf>
    <xf borderId="0" fillId="5" fontId="1" numFmtId="11" xfId="0" applyAlignment="1" applyFill="1" applyFont="1" applyNumberFormat="1">
      <alignment readingOrder="0"/>
    </xf>
    <xf borderId="0" fillId="5" fontId="1" numFmtId="0" xfId="0" applyFill="1" applyFont="1"/>
    <xf borderId="0" fillId="2" fontId="1" numFmtId="0" xfId="0" applyFill="1" applyFont="1"/>
    <xf borderId="0" fillId="2" fontId="1" numFmtId="11" xfId="0" applyAlignment="1" applyFill="1" applyFont="1" applyNumberFormat="1">
      <alignment readingOrder="0"/>
    </xf>
    <xf borderId="0" fillId="6" fontId="1" numFmtId="0" xfId="0" applyAlignment="1" applyFill="1" applyFont="1">
      <alignment readingOrder="0"/>
    </xf>
    <xf borderId="0" fillId="6" fontId="1" numFmtId="11" xfId="0" applyAlignment="1" applyFill="1" applyFont="1" applyNumberFormat="1">
      <alignment readingOrder="0"/>
    </xf>
    <xf borderId="0" fillId="6" fontId="1" numFmtId="0" xfId="0" applyFill="1" applyFont="1"/>
    <xf borderId="0" fillId="4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7" fontId="1" numFmtId="11" xfId="0" applyAlignment="1" applyFill="1" applyFont="1" applyNumberFormat="1">
      <alignment readingOrder="0"/>
    </xf>
    <xf borderId="0" fillId="7" fontId="1" numFmtId="0" xfId="0" applyFill="1" applyFont="1"/>
    <xf borderId="0" fillId="4" fontId="1" numFmtId="0" xfId="0" applyFill="1" applyFont="1"/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 shrinkToFit="0" wrapText="1"/>
    </xf>
    <xf borderId="2" fillId="0" fontId="2" numFmtId="0" xfId="0" applyBorder="1" applyFont="1"/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 shrinkToFit="0" wrapText="1"/>
    </xf>
    <xf borderId="2" fillId="0" fontId="4" numFmtId="164" xfId="0" applyAlignment="1" applyBorder="1" applyFont="1" applyNumberFormat="1">
      <alignment horizontal="center"/>
    </xf>
    <xf borderId="2" fillId="0" fontId="3" numFmtId="164" xfId="0" applyAlignment="1" applyBorder="1" applyFont="1" applyNumberFormat="1">
      <alignment horizontal="center"/>
    </xf>
    <xf borderId="3" fillId="0" fontId="3" numFmtId="164" xfId="0" applyAlignment="1" applyBorder="1" applyFont="1" applyNumberFormat="1">
      <alignment horizontal="center"/>
    </xf>
    <xf borderId="2" fillId="0" fontId="4" numFmtId="0" xfId="0" applyAlignment="1" applyBorder="1" applyFont="1">
      <alignment horizontal="center" shrinkToFit="0" wrapText="1"/>
    </xf>
    <xf borderId="3" fillId="0" fontId="3" numFmtId="164" xfId="0" applyAlignment="1" applyBorder="1" applyFont="1" applyNumberFormat="1">
      <alignment horizontal="center" shrinkToFit="0" wrapText="1"/>
    </xf>
    <xf borderId="0" fillId="0" fontId="2" numFmtId="0" xfId="0" applyFont="1"/>
    <xf borderId="2" fillId="0" fontId="3" numFmtId="164" xfId="0" applyAlignment="1" applyBorder="1" applyFont="1" applyNumberForma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horizontal="center"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2" numFmtId="165" xfId="0" applyAlignment="1" applyFont="1" applyNumberFormat="1">
      <alignment vertical="bottom"/>
    </xf>
    <xf borderId="5" fillId="0" fontId="2" numFmtId="165" xfId="0" applyAlignment="1" applyBorder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2" fillId="0" fontId="3" numFmtId="0" xfId="0" applyAlignment="1" applyBorder="1" applyFont="1">
      <alignment horizontal="center" readingOrder="0"/>
    </xf>
    <xf borderId="0" fillId="0" fontId="2" numFmtId="164" xfId="0" applyAlignment="1" applyFont="1" applyNumberFormat="1">
      <alignment vertical="bottom"/>
    </xf>
    <xf borderId="2" fillId="0" fontId="4" numFmtId="164" xfId="0" applyAlignment="1" applyBorder="1" applyFont="1" applyNumberFormat="1">
      <alignment horizontal="center" readingOrder="0"/>
    </xf>
    <xf borderId="2" fillId="0" fontId="3" numFmtId="164" xfId="0" applyAlignment="1" applyBorder="1" applyFont="1" applyNumberFormat="1">
      <alignment horizontal="center" readingOrder="0"/>
    </xf>
    <xf borderId="6" fillId="8" fontId="2" numFmtId="164" xfId="0" applyAlignment="1" applyBorder="1" applyFill="1" applyFont="1" applyNumberFormat="1">
      <alignment horizontal="center" vertical="bottom"/>
    </xf>
    <xf borderId="5" fillId="0" fontId="2" numFmtId="164" xfId="0" applyAlignment="1" applyBorder="1" applyFont="1" applyNumberFormat="1">
      <alignment horizontal="center" vertical="bottom"/>
    </xf>
    <xf borderId="0" fillId="0" fontId="2" numFmtId="164" xfId="0" applyAlignment="1" applyFont="1" applyNumberFormat="1">
      <alignment horizontal="right" vertical="bottom"/>
    </xf>
    <xf borderId="4" fillId="0" fontId="2" numFmtId="164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3" fontId="2" numFmtId="0" xfId="0" applyAlignment="1" applyFill="1" applyFont="1">
      <alignment horizontal="right" readingOrder="0" vertical="bottom"/>
    </xf>
    <xf borderId="0" fillId="2" fontId="2" numFmtId="0" xfId="0" applyAlignment="1" applyFill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'25 WT Data'!$K$1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'25 WT Data'!$G$2:$G$998</c:f>
            </c:strRef>
          </c:cat>
          <c:val>
            <c:numRef>
              <c:f>'25 WT Data'!$K$2:$K$6</c:f>
              <c:numCache/>
            </c:numRef>
          </c:val>
          <c:smooth val="0"/>
        </c:ser>
        <c:ser>
          <c:idx val="1"/>
          <c:order val="1"/>
          <c:tx>
            <c:strRef>
              <c:f>'25 WT Data'!$J$1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'25 WT Data'!$G$2:$G$998</c:f>
            </c:strRef>
          </c:cat>
          <c:val>
            <c:numRef>
              <c:f>'25 WT Data'!$J$2:$J$6</c:f>
              <c:numCache/>
            </c:numRef>
          </c:val>
          <c:smooth val="0"/>
        </c:ser>
        <c:axId val="372911992"/>
        <c:axId val="559566064"/>
      </c:lineChart>
      <c:catAx>
        <c:axId val="372911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9566064"/>
      </c:catAx>
      <c:valAx>
        <c:axId val="5595660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Coefficient of Drag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2911992"/>
      </c:valAx>
      <c:lineChart>
        <c:varyColors val="0"/>
        <c:ser>
          <c:idx val="2"/>
          <c:order val="2"/>
          <c:tx>
            <c:strRef>
              <c:f>'25 CFD Data'!$I$1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'25 WT Data'!$G$2:$G$998</c:f>
            </c:strRef>
          </c:cat>
          <c:val>
            <c:numRef>
              <c:f>'25 CFD Data'!$I$2:$I$6</c:f>
              <c:numCache/>
            </c:numRef>
          </c:val>
          <c:smooth val="0"/>
        </c:ser>
        <c:axId val="765243639"/>
        <c:axId val="1388834225"/>
      </c:lineChart>
      <c:catAx>
        <c:axId val="765243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8834225"/>
      </c:catAx>
      <c:valAx>
        <c:axId val="138883422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Correction Factor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524363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'25 WT Data'!$L$1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'25 WT Data'!$G$2:$G$998</c:f>
            </c:strRef>
          </c:cat>
          <c:val>
            <c:numRef>
              <c:f>'25 WT Data'!$L$2:$L$6</c:f>
              <c:numCache/>
            </c:numRef>
          </c:val>
          <c:smooth val="0"/>
        </c:ser>
        <c:ser>
          <c:idx val="2"/>
          <c:order val="2"/>
          <c:tx>
            <c:strRef>
              <c:f>'25 CFD Data'!$H$1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'25 WT Data'!$G$2:$G$998</c:f>
            </c:strRef>
          </c:cat>
          <c:val>
            <c:numRef>
              <c:f>'25 CFD Data'!$H$2:$H$6</c:f>
              <c:numCache/>
            </c:numRef>
          </c:val>
          <c:smooth val="0"/>
        </c:ser>
        <c:axId val="472426675"/>
        <c:axId val="384647953"/>
      </c:lineChart>
      <c:catAx>
        <c:axId val="4724266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4647953"/>
      </c:catAx>
      <c:valAx>
        <c:axId val="3846479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Coefficient of Lift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2426675"/>
      </c:valAx>
      <c:lineChart>
        <c:varyColors val="0"/>
        <c:ser>
          <c:idx val="1"/>
          <c:order val="1"/>
          <c:tx>
            <c:strRef>
              <c:f>'25 WT Data'!$M$1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'25 WT Data'!$G$2:$G$998</c:f>
            </c:strRef>
          </c:cat>
          <c:val>
            <c:numRef>
              <c:f>'25 WT Data'!$M$2:$M$6</c:f>
              <c:numCache/>
            </c:numRef>
          </c:val>
          <c:smooth val="0"/>
        </c:ser>
        <c:axId val="1174781206"/>
        <c:axId val="21321553"/>
      </c:lineChart>
      <c:catAx>
        <c:axId val="117478120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21553"/>
      </c:catAx>
      <c:valAx>
        <c:axId val="2132155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Correction Factor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4781206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'26CFDDATA'!$F$1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'26CFDDATA'!$C$2:$C$6</c:f>
            </c:strRef>
          </c:cat>
          <c:val>
            <c:numRef>
              <c:f>'26CFDDATA'!$F$2:$F$6</c:f>
              <c:numCache/>
            </c:numRef>
          </c:val>
          <c:smooth val="0"/>
        </c:ser>
        <c:ser>
          <c:idx val="1"/>
          <c:order val="1"/>
          <c:tx>
            <c:strRef>
              <c:f>'26CFDDATA'!$G$1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'26CFDDATA'!$C$2:$C$6</c:f>
            </c:strRef>
          </c:cat>
          <c:val>
            <c:numRef>
              <c:f>'26CFDDATA'!$G$2:$G$6</c:f>
              <c:numCache/>
            </c:numRef>
          </c:val>
          <c:smooth val="0"/>
        </c:ser>
        <c:axId val="1554322008"/>
        <c:axId val="311119357"/>
      </c:lineChart>
      <c:catAx>
        <c:axId val="1554322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1119357"/>
      </c:catAx>
      <c:valAx>
        <c:axId val="311119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43220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'26CFDDATA'!$H$1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'26CFDDATA'!$C$2:$C$6</c:f>
            </c:strRef>
          </c:cat>
          <c:val>
            <c:numRef>
              <c:f>'26CFDDATA'!$H$2:$H$6</c:f>
              <c:numCache/>
            </c:numRef>
          </c:val>
          <c:smooth val="0"/>
        </c:ser>
        <c:ser>
          <c:idx val="1"/>
          <c:order val="1"/>
          <c:tx>
            <c:strRef>
              <c:f>'26CFDDATA'!$I$1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'26CFDDATA'!$C$2:$C$6</c:f>
            </c:strRef>
          </c:cat>
          <c:val>
            <c:numRef>
              <c:f>'26CFDDATA'!$I$2:$I$6</c:f>
              <c:numCache/>
            </c:numRef>
          </c:val>
          <c:smooth val="0"/>
        </c:ser>
        <c:axId val="1633027323"/>
        <c:axId val="1415237887"/>
      </c:lineChart>
      <c:catAx>
        <c:axId val="1633027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5237887"/>
      </c:catAx>
      <c:valAx>
        <c:axId val="14152378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30273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'26CFDDATA'!$S$18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'26CFDDATA'!$C$2:$C$6</c:f>
            </c:strRef>
          </c:cat>
          <c:val>
            <c:numRef>
              <c:f>'26CFDDATA'!$S$19:$S$23</c:f>
              <c:numCache/>
            </c:numRef>
          </c:val>
          <c:smooth val="0"/>
        </c:ser>
        <c:ser>
          <c:idx val="1"/>
          <c:order val="1"/>
          <c:tx>
            <c:strRef>
              <c:f>'26CFDDATA'!$T$18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'26CFDDATA'!$C$2:$C$6</c:f>
            </c:strRef>
          </c:cat>
          <c:val>
            <c:numRef>
              <c:f>'26CFDDATA'!$T$19:$T$23</c:f>
              <c:numCache/>
            </c:numRef>
          </c:val>
          <c:smooth val="0"/>
        </c:ser>
        <c:ser>
          <c:idx val="2"/>
          <c:order val="2"/>
          <c:tx>
            <c:strRef>
              <c:f>'26CFDDATA'!$U$18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'26CFDDATA'!$C$2:$C$6</c:f>
            </c:strRef>
          </c:cat>
          <c:val>
            <c:numRef>
              <c:f>'26CFDDATA'!$U$19:$U$23</c:f>
              <c:numCache/>
            </c:numRef>
          </c:val>
          <c:smooth val="0"/>
        </c:ser>
        <c:axId val="845256404"/>
        <c:axId val="968403251"/>
      </c:lineChart>
      <c:catAx>
        <c:axId val="8452564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Velocity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8403251"/>
      </c:catAx>
      <c:valAx>
        <c:axId val="968403251"/>
        <c:scaling>
          <c:orientation val="minMax"/>
          <c:max val="1.17"/>
          <c:min val="0.7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Correction Coefficient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52564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11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914400</xdr:colOff>
      <xdr:row>11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609600</xdr:colOff>
      <xdr:row>18</xdr:row>
      <xdr:rowOff>95250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838200</xdr:colOff>
      <xdr:row>18</xdr:row>
      <xdr:rowOff>104775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161925</xdr:colOff>
      <xdr:row>2</xdr:row>
      <xdr:rowOff>200025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7.0"/>
    <col customWidth="1" min="2" max="3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42</v>
      </c>
      <c r="AP1" s="1" t="s">
        <v>44</v>
      </c>
      <c r="AQ1" s="1" t="s">
        <v>45</v>
      </c>
      <c r="AR1" s="1" t="s">
        <v>46</v>
      </c>
      <c r="AS1" s="1" t="s">
        <v>49</v>
      </c>
      <c r="AT1" s="1" t="s">
        <v>50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56</v>
      </c>
      <c r="AZ1" s="1" t="s">
        <v>57</v>
      </c>
      <c r="BA1" s="1" t="s">
        <v>58</v>
      </c>
      <c r="BB1" s="1" t="s">
        <v>59</v>
      </c>
      <c r="BC1" s="1" t="s">
        <v>60</v>
      </c>
      <c r="BD1" s="1" t="s">
        <v>61</v>
      </c>
      <c r="BE1" s="1" t="s">
        <v>62</v>
      </c>
      <c r="BF1" s="1" t="s">
        <v>63</v>
      </c>
      <c r="BG1" s="1" t="s">
        <v>64</v>
      </c>
      <c r="BH1" s="1" t="s">
        <v>65</v>
      </c>
      <c r="BI1" s="1" t="s">
        <v>66</v>
      </c>
      <c r="BJ1" s="1" t="s">
        <v>67</v>
      </c>
      <c r="BK1" s="1" t="s">
        <v>68</v>
      </c>
      <c r="BL1" s="1" t="s">
        <v>69</v>
      </c>
      <c r="BM1" s="1" t="s">
        <v>70</v>
      </c>
      <c r="BN1" s="1" t="s">
        <v>71</v>
      </c>
      <c r="BO1" s="1" t="s">
        <v>72</v>
      </c>
      <c r="BP1" s="1" t="s">
        <v>73</v>
      </c>
      <c r="BQ1" s="1" t="s">
        <v>74</v>
      </c>
      <c r="BR1" s="1" t="s">
        <v>75</v>
      </c>
      <c r="BS1" s="1" t="s">
        <v>76</v>
      </c>
      <c r="BT1" s="1" t="s">
        <v>77</v>
      </c>
      <c r="BU1" s="1" t="s">
        <v>78</v>
      </c>
      <c r="BV1" s="1" t="s">
        <v>79</v>
      </c>
      <c r="BW1" s="1" t="s">
        <v>80</v>
      </c>
      <c r="BX1" s="1" t="s">
        <v>81</v>
      </c>
      <c r="BY1" s="1" t="s">
        <v>82</v>
      </c>
      <c r="BZ1" s="1" t="s">
        <v>83</v>
      </c>
      <c r="CA1" s="1" t="s">
        <v>84</v>
      </c>
      <c r="CB1" s="1" t="s">
        <v>85</v>
      </c>
      <c r="CC1" s="1" t="s">
        <v>86</v>
      </c>
      <c r="CD1" s="1" t="s">
        <v>87</v>
      </c>
      <c r="CE1" s="1" t="s">
        <v>88</v>
      </c>
      <c r="CF1" s="1" t="s">
        <v>89</v>
      </c>
      <c r="CG1" s="1" t="s">
        <v>90</v>
      </c>
      <c r="CH1" s="1" t="s">
        <v>91</v>
      </c>
      <c r="CI1" s="1" t="s">
        <v>92</v>
      </c>
      <c r="CJ1" s="1" t="s">
        <v>93</v>
      </c>
      <c r="CK1" s="1" t="s">
        <v>94</v>
      </c>
      <c r="CL1" s="1" t="s">
        <v>95</v>
      </c>
      <c r="CM1" s="1" t="s">
        <v>96</v>
      </c>
      <c r="CN1" s="1" t="s">
        <v>97</v>
      </c>
      <c r="CO1" s="1" t="s">
        <v>98</v>
      </c>
      <c r="CP1" s="1" t="s">
        <v>99</v>
      </c>
      <c r="CQ1" s="1" t="s">
        <v>100</v>
      </c>
      <c r="CR1" s="1" t="s">
        <v>101</v>
      </c>
      <c r="CS1" s="1" t="s">
        <v>102</v>
      </c>
      <c r="CT1" s="1" t="s">
        <v>103</v>
      </c>
      <c r="CU1" s="1" t="s">
        <v>104</v>
      </c>
      <c r="CV1" s="1" t="s">
        <v>105</v>
      </c>
      <c r="CW1" s="1" t="s">
        <v>106</v>
      </c>
      <c r="CX1" s="1" t="s">
        <v>107</v>
      </c>
      <c r="CY1" s="1" t="s">
        <v>108</v>
      </c>
      <c r="CZ1" s="1" t="s">
        <v>109</v>
      </c>
      <c r="DA1" s="1" t="s">
        <v>110</v>
      </c>
      <c r="DB1" s="1" t="s">
        <v>111</v>
      </c>
      <c r="DC1" s="1" t="s">
        <v>112</v>
      </c>
      <c r="DD1" s="1" t="s">
        <v>113</v>
      </c>
      <c r="DE1" s="1" t="s">
        <v>114</v>
      </c>
      <c r="DF1" s="1" t="s">
        <v>115</v>
      </c>
      <c r="DG1" s="1" t="s">
        <v>116</v>
      </c>
    </row>
    <row r="2">
      <c r="A2" s="1" t="s">
        <v>117</v>
      </c>
      <c r="B2" s="1">
        <v>-2.0</v>
      </c>
      <c r="C2" s="1">
        <v>10.0</v>
      </c>
      <c r="D2" s="1">
        <v>239.44479014711</v>
      </c>
      <c r="E2" s="1">
        <v>93.2048649556719</v>
      </c>
      <c r="F2" s="3">
        <f t="shared" ref="F2:F13" si="1">D2/(0.5*DC2*DA2*(DB2^2))</f>
        <v>3.410929396</v>
      </c>
      <c r="G2" s="1">
        <v>1.32771825068467</v>
      </c>
      <c r="H2" s="1">
        <v>1.52643085239443</v>
      </c>
      <c r="I2" s="1">
        <v>0.596072757296949</v>
      </c>
      <c r="J2" s="1">
        <v>2.56901600856338</v>
      </c>
      <c r="K2" s="1">
        <v>63.4140314124158</v>
      </c>
      <c r="L2" s="1">
        <v>36.5859685875841</v>
      </c>
      <c r="M2" s="1">
        <v>3.40237856243053</v>
      </c>
      <c r="N2" s="4">
        <v>2.0304961252881E-5</v>
      </c>
      <c r="O2" s="1">
        <v>0.0013243977955807</v>
      </c>
      <c r="P2" s="1">
        <v>1.32925047890941</v>
      </c>
      <c r="Q2" s="4">
        <v>8.11682759217976E-6</v>
      </c>
      <c r="R2" s="1">
        <v>0.0021433166375579</v>
      </c>
      <c r="S2" s="1">
        <v>63.4054971076272</v>
      </c>
      <c r="T2" s="1">
        <v>0.0049327329482171</v>
      </c>
      <c r="U2" s="1">
        <v>0.0011076865698872</v>
      </c>
      <c r="V2" s="1">
        <v>87.1456554939996</v>
      </c>
      <c r="W2" s="1">
        <v>18.9798956369322</v>
      </c>
      <c r="X2" s="1">
        <v>67.7834839531517</v>
      </c>
      <c r="Y2" s="1">
        <v>5.58726199438106</v>
      </c>
      <c r="Z2" s="1">
        <v>4.33289753565643</v>
      </c>
      <c r="AA2" s="1">
        <v>2.03667905444212</v>
      </c>
      <c r="AB2" s="1">
        <v>2.22376655078011</v>
      </c>
      <c r="AC2" s="1">
        <v>2.64114555675972</v>
      </c>
      <c r="AD2" s="1">
        <v>2.53291426942156</v>
      </c>
      <c r="AE2" s="1">
        <v>2.02642720654752</v>
      </c>
      <c r="AF2" s="1">
        <v>2.01904414836519</v>
      </c>
      <c r="AG2" s="1">
        <v>3.69187046943222</v>
      </c>
      <c r="AH2" s="1">
        <v>4.04197476713959</v>
      </c>
      <c r="AI2" s="1">
        <v>0.433430219072785</v>
      </c>
      <c r="AJ2" s="1">
        <v>0.706161419375809</v>
      </c>
      <c r="AK2" s="1">
        <v>1.61812688433942</v>
      </c>
      <c r="AL2" s="1">
        <v>0.328342572958938</v>
      </c>
      <c r="AM2" s="1">
        <v>0.43015405967539</v>
      </c>
      <c r="AN2" s="1">
        <v>0.0</v>
      </c>
      <c r="AO2" s="1">
        <v>0.0</v>
      </c>
      <c r="AP2" s="1">
        <v>90.6510775876108</v>
      </c>
      <c r="AQ2" s="1">
        <v>47.2195602821343</v>
      </c>
      <c r="AR2" s="1">
        <v>68.0262633347578</v>
      </c>
      <c r="AS2" s="1">
        <v>20.4948547397414</v>
      </c>
      <c r="AT2" s="1">
        <v>1.45645905106979</v>
      </c>
      <c r="AU2" s="1">
        <v>0.0</v>
      </c>
      <c r="AV2" s="1">
        <v>0.0</v>
      </c>
      <c r="AW2" s="1">
        <v>11.8175311655634</v>
      </c>
      <c r="AX2" s="1">
        <v>25.9765361105004</v>
      </c>
      <c r="AY2" s="1">
        <v>8.03141046120394</v>
      </c>
      <c r="AZ2" s="1">
        <v>0.0</v>
      </c>
      <c r="BA2" s="1">
        <v>0.0</v>
      </c>
      <c r="BB2" s="1">
        <v>-0.782958589027956</v>
      </c>
      <c r="BC2" s="1">
        <v>1.39408254486649</v>
      </c>
      <c r="BD2" s="1">
        <v>62.4599501049469</v>
      </c>
      <c r="BE2" s="1">
        <v>8.74092975016606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>
        <v>0.0</v>
      </c>
      <c r="BO2" s="1">
        <v>0.0</v>
      </c>
      <c r="BP2" s="1">
        <v>0.0</v>
      </c>
      <c r="BQ2" s="1">
        <v>0.0</v>
      </c>
      <c r="BR2" s="1">
        <v>0.0</v>
      </c>
      <c r="BS2" s="1">
        <v>0.0</v>
      </c>
      <c r="BT2" s="1">
        <v>-0.0352804027733699</v>
      </c>
      <c r="BU2" s="1">
        <v>0.655228027943554</v>
      </c>
      <c r="BV2" s="1">
        <v>6.00231640702778</v>
      </c>
      <c r="BW2" s="1">
        <v>10.9958077953915</v>
      </c>
      <c r="BX2" s="1">
        <v>0.0</v>
      </c>
      <c r="BY2" s="1">
        <v>0.0</v>
      </c>
      <c r="BZ2" s="1">
        <v>0.0</v>
      </c>
      <c r="CA2" s="1">
        <v>-0.140084545874752</v>
      </c>
      <c r="CB2" s="1">
        <v>4.64827349779033</v>
      </c>
      <c r="CC2" s="1">
        <v>0.0</v>
      </c>
      <c r="CD2" s="1">
        <v>0.0</v>
      </c>
      <c r="CE2" s="1">
        <v>0.0</v>
      </c>
      <c r="CF2" s="1">
        <v>0.0</v>
      </c>
      <c r="CG2" s="1">
        <v>0.0</v>
      </c>
      <c r="CH2" s="1">
        <v>0.0</v>
      </c>
      <c r="CI2" s="1">
        <v>0.957922201045591</v>
      </c>
      <c r="CJ2" s="1">
        <v>1.68163685979736</v>
      </c>
      <c r="CK2" s="1">
        <v>0.957922201045591</v>
      </c>
      <c r="CL2" s="1">
        <v>2.67634583087173</v>
      </c>
      <c r="CM2" s="1">
        <v>0.0</v>
      </c>
      <c r="CN2" s="1">
        <v>-0.653421001587356</v>
      </c>
      <c r="CO2" s="1">
        <v>-0.0698809561142404</v>
      </c>
      <c r="CP2" s="1">
        <v>0.107779139109775</v>
      </c>
      <c r="CQ2" s="1">
        <v>0.0</v>
      </c>
      <c r="CR2" s="1">
        <v>0.0</v>
      </c>
      <c r="CS2" s="1">
        <v>0.0</v>
      </c>
      <c r="CT2" s="1">
        <v>93.2048649556719</v>
      </c>
      <c r="CU2" s="1">
        <v>-239.44479014711</v>
      </c>
      <c r="CV2" s="1">
        <v>-229.92308121942</v>
      </c>
      <c r="CW2" s="1">
        <v>44.3639633287419</v>
      </c>
      <c r="CX2" s="1">
        <v>0.960234219663583</v>
      </c>
      <c r="CY2" s="1">
        <v>0.475983344322652</v>
      </c>
      <c r="CZ2" s="1">
        <v>3.45165896522546</v>
      </c>
      <c r="DA2" s="1">
        <v>1.11372163417228</v>
      </c>
      <c r="DB2" s="1">
        <v>10.41573536</v>
      </c>
      <c r="DC2" s="1">
        <v>1.162</v>
      </c>
      <c r="DD2" s="1">
        <v>100.0</v>
      </c>
      <c r="DE2" s="1">
        <v>472.563</v>
      </c>
      <c r="DF2" s="1">
        <v>107.933936666666</v>
      </c>
      <c r="DG2" s="1">
        <v>485.702714999999</v>
      </c>
    </row>
    <row r="3">
      <c r="A3" s="1" t="s">
        <v>118</v>
      </c>
      <c r="B3" s="1">
        <v>0.0</v>
      </c>
      <c r="C3" s="1">
        <v>10.0</v>
      </c>
      <c r="D3" s="1">
        <v>242.038662973093</v>
      </c>
      <c r="E3" s="1">
        <v>94.606275875545</v>
      </c>
      <c r="F3" s="3">
        <f t="shared" si="1"/>
        <v>3.44605632</v>
      </c>
      <c r="G3" s="1">
        <v>1.34696894160646</v>
      </c>
      <c r="H3" s="1">
        <v>1.54215056262622</v>
      </c>
      <c r="I3" s="1">
        <v>0.604395494642568</v>
      </c>
      <c r="J3" s="1">
        <v>2.55837850854098</v>
      </c>
      <c r="K3" s="1">
        <v>62.9755327356903</v>
      </c>
      <c r="L3" s="1">
        <v>37.0244672643096</v>
      </c>
      <c r="M3" s="1">
        <v>3.43466658047813</v>
      </c>
      <c r="N3" s="4">
        <v>1.06684502925091E-6</v>
      </c>
      <c r="O3" s="1">
        <v>3.0072261181469E-4</v>
      </c>
      <c r="P3" s="1">
        <v>1.34651028200911</v>
      </c>
      <c r="Q3" s="4">
        <v>2.24627124725198E-7</v>
      </c>
      <c r="R3" s="1">
        <v>3.51982786415586E-4</v>
      </c>
      <c r="S3" s="1">
        <v>62.9707843210263</v>
      </c>
      <c r="T3" s="4">
        <v>7.57005519064964E-5</v>
      </c>
      <c r="U3" s="1">
        <v>1.381689382479E-4</v>
      </c>
      <c r="V3" s="1">
        <v>86.7953401549734</v>
      </c>
      <c r="W3" s="1">
        <v>18.7717702222853</v>
      </c>
      <c r="X3" s="1">
        <v>67.3905842949296</v>
      </c>
      <c r="Y3" s="1">
        <v>5.60439688271548</v>
      </c>
      <c r="Z3" s="1">
        <v>4.36625119782385</v>
      </c>
      <c r="AA3" s="1">
        <v>2.05347160113754</v>
      </c>
      <c r="AB3" s="1">
        <v>2.2151148256704</v>
      </c>
      <c r="AC3" s="1">
        <v>2.39156056072531</v>
      </c>
      <c r="AD3" s="1">
        <v>2.54204137042429</v>
      </c>
      <c r="AE3" s="1">
        <v>2.03397367410668</v>
      </c>
      <c r="AF3" s="1">
        <v>2.03265092739756</v>
      </c>
      <c r="AG3" s="1">
        <v>3.67388479388959</v>
      </c>
      <c r="AH3" s="1">
        <v>4.02663059885943</v>
      </c>
      <c r="AI3" s="1">
        <v>0.433707701789437</v>
      </c>
      <c r="AJ3" s="1">
        <v>0.705183052047608</v>
      </c>
      <c r="AK3" s="1">
        <v>1.64487435520444</v>
      </c>
      <c r="AL3" s="1">
        <v>0.339558136639107</v>
      </c>
      <c r="AM3" s="1">
        <v>0.439341610008762</v>
      </c>
      <c r="AN3" s="1">
        <v>0.0</v>
      </c>
      <c r="AO3" s="1">
        <v>0.0</v>
      </c>
      <c r="AP3" s="1">
        <v>91.8213323914246</v>
      </c>
      <c r="AQ3" s="1">
        <v>48.3627406774407</v>
      </c>
      <c r="AR3" s="1">
        <v>68.7869354935313</v>
      </c>
      <c r="AS3" s="1">
        <v>20.9179344898558</v>
      </c>
      <c r="AT3" s="1">
        <v>1.43678617670273</v>
      </c>
      <c r="AU3" s="1">
        <v>0.0</v>
      </c>
      <c r="AV3" s="1">
        <v>0.0</v>
      </c>
      <c r="AW3" s="1">
        <v>12.2221779530213</v>
      </c>
      <c r="AX3" s="1">
        <v>26.5986564622888</v>
      </c>
      <c r="AY3" s="1">
        <v>7.95799972620377</v>
      </c>
      <c r="AZ3" s="1">
        <v>0.0</v>
      </c>
      <c r="BA3" s="1">
        <v>0.0</v>
      </c>
      <c r="BB3" s="1">
        <v>-0.757109945368028</v>
      </c>
      <c r="BC3" s="1">
        <v>1.58390653592671</v>
      </c>
      <c r="BD3" s="1">
        <v>63.878175259287</v>
      </c>
      <c r="BE3" s="1">
        <v>8.89000167387644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0.0</v>
      </c>
      <c r="BR3" s="1">
        <v>0.0</v>
      </c>
      <c r="BS3" s="1">
        <v>0.0</v>
      </c>
      <c r="BT3" s="1">
        <v>-0.0178945548061681</v>
      </c>
      <c r="BU3" s="1">
        <v>0.667777144421426</v>
      </c>
      <c r="BV3" s="1">
        <v>6.42297397106436</v>
      </c>
      <c r="BW3" s="1">
        <v>11.4011417187832</v>
      </c>
      <c r="BX3" s="1">
        <v>0.0</v>
      </c>
      <c r="BY3" s="1">
        <v>0.0</v>
      </c>
      <c r="BZ3" s="1">
        <v>0.0</v>
      </c>
      <c r="CA3" s="1">
        <v>-0.145825095548805</v>
      </c>
      <c r="CB3" s="1">
        <v>4.68552994954204</v>
      </c>
      <c r="CC3" s="1">
        <v>0.0</v>
      </c>
      <c r="CD3" s="1">
        <v>0.0</v>
      </c>
      <c r="CE3" s="1">
        <v>0.0</v>
      </c>
      <c r="CF3" s="1">
        <v>0.0</v>
      </c>
      <c r="CG3" s="1">
        <v>0.0</v>
      </c>
      <c r="CH3" s="1">
        <v>0.0</v>
      </c>
      <c r="CI3" s="1">
        <v>0.970023457650598</v>
      </c>
      <c r="CJ3" s="1">
        <v>1.47311117868522</v>
      </c>
      <c r="CK3" s="1">
        <v>0.970023457650598</v>
      </c>
      <c r="CL3" s="1">
        <v>2.71077770276295</v>
      </c>
      <c r="CM3" s="1">
        <v>0.0</v>
      </c>
      <c r="CN3" s="1">
        <v>-0.819106202234804</v>
      </c>
      <c r="CO3" s="1">
        <v>-0.0518762985483628</v>
      </c>
      <c r="CP3" s="1">
        <v>0.106397758914405</v>
      </c>
      <c r="CQ3" s="1">
        <v>0.0</v>
      </c>
      <c r="CR3" s="1">
        <v>0.0</v>
      </c>
      <c r="CS3" s="1">
        <v>0.0</v>
      </c>
      <c r="CT3" s="1">
        <v>94.606275875545</v>
      </c>
      <c r="CU3" s="1">
        <v>-242.038662973093</v>
      </c>
      <c r="CV3" s="1">
        <v>-234.4774356325</v>
      </c>
      <c r="CW3" s="1">
        <v>45.3073420511598</v>
      </c>
      <c r="CX3" s="1">
        <v>0.968760249921583</v>
      </c>
      <c r="CY3" s="1">
        <v>0.478904191417088</v>
      </c>
      <c r="CZ3" s="1">
        <v>3.4510080425977</v>
      </c>
      <c r="DA3" s="1">
        <v>1.11431087222369</v>
      </c>
      <c r="DB3" s="1">
        <v>10.41573536</v>
      </c>
      <c r="DC3" s="1">
        <v>1.162</v>
      </c>
      <c r="DD3" s="1">
        <v>100.0</v>
      </c>
      <c r="DE3" s="1">
        <v>23.604</v>
      </c>
      <c r="DF3" s="1">
        <v>3.37176333333333</v>
      </c>
      <c r="DG3" s="1">
        <v>24.0840238095238</v>
      </c>
    </row>
    <row r="4">
      <c r="A4" s="1" t="s">
        <v>127</v>
      </c>
      <c r="B4" s="1">
        <v>-4.0</v>
      </c>
      <c r="C4" s="1">
        <v>10.0</v>
      </c>
      <c r="D4" s="1">
        <v>235.033865623297</v>
      </c>
      <c r="E4" s="1">
        <v>91.6505686873178</v>
      </c>
      <c r="F4" s="3">
        <f t="shared" si="1"/>
        <v>3.346445034</v>
      </c>
      <c r="G4" s="1">
        <v>1.30493360133231</v>
      </c>
      <c r="H4" s="1">
        <v>1.49757334521932</v>
      </c>
      <c r="I4" s="1">
        <v>0.585554977712853</v>
      </c>
      <c r="J4" s="1">
        <v>2.56445616202511</v>
      </c>
      <c r="K4" s="1">
        <v>63.7857161481022</v>
      </c>
      <c r="L4" s="1">
        <v>36.2142838518977</v>
      </c>
      <c r="M4" s="1">
        <v>3.33603926303754</v>
      </c>
      <c r="N4" s="4">
        <v>1.30988352260027E-6</v>
      </c>
      <c r="O4" s="1">
        <v>3.4307193035385E-4</v>
      </c>
      <c r="P4" s="1">
        <v>1.3045980455985</v>
      </c>
      <c r="Q4" s="4">
        <v>1.43412680101767E-8</v>
      </c>
      <c r="R4" s="4">
        <v>9.17945828170344E-5</v>
      </c>
      <c r="S4" s="1">
        <v>63.7771737185601</v>
      </c>
      <c r="T4" s="4">
        <v>5.90261818632375E-5</v>
      </c>
      <c r="U4" s="1">
        <v>1.20463943524222E-4</v>
      </c>
      <c r="V4" s="1">
        <v>86.3483609336589</v>
      </c>
      <c r="W4" s="1">
        <v>18.8335127458336</v>
      </c>
      <c r="X4" s="1">
        <v>67.1638946836873</v>
      </c>
      <c r="Y4" s="1">
        <v>5.54812314488495</v>
      </c>
      <c r="Z4" s="1">
        <v>4.27047038377754</v>
      </c>
      <c r="AA4" s="1">
        <v>2.049897298926</v>
      </c>
      <c r="AB4" s="1">
        <v>2.16706872363978</v>
      </c>
      <c r="AC4" s="1">
        <v>2.64126706524528</v>
      </c>
      <c r="AD4" s="1">
        <v>2.4938514947287</v>
      </c>
      <c r="AE4" s="1">
        <v>1.99144036788228</v>
      </c>
      <c r="AF4" s="1">
        <v>2.02259218361538</v>
      </c>
      <c r="AG4" s="1">
        <v>3.63281875471567</v>
      </c>
      <c r="AH4" s="1">
        <v>3.9837508391736</v>
      </c>
      <c r="AI4" s="1">
        <v>0.43602397181317</v>
      </c>
      <c r="AJ4" s="1">
        <v>0.72913188775657</v>
      </c>
      <c r="AK4" s="1">
        <v>1.624021994273</v>
      </c>
      <c r="AL4" s="1">
        <v>0.337066022279733</v>
      </c>
      <c r="AM4" s="1">
        <v>0.457636108377943</v>
      </c>
      <c r="AN4" s="1">
        <v>0.0</v>
      </c>
      <c r="AO4" s="1">
        <v>0.0</v>
      </c>
      <c r="AP4" s="1">
        <v>88.5014238526488</v>
      </c>
      <c r="AQ4" s="1">
        <v>45.8876870441997</v>
      </c>
      <c r="AR4" s="1">
        <v>66.6921560492895</v>
      </c>
      <c r="AS4" s="1">
        <v>19.807232075086</v>
      </c>
      <c r="AT4" s="1">
        <v>1.40154388887993</v>
      </c>
      <c r="AU4" s="1">
        <v>0.0</v>
      </c>
      <c r="AV4" s="1">
        <v>0.0</v>
      </c>
      <c r="AW4" s="1">
        <v>11.5321489161026</v>
      </c>
      <c r="AX4" s="1">
        <v>25.1757849763395</v>
      </c>
      <c r="AY4" s="1">
        <v>7.86880463700847</v>
      </c>
      <c r="AZ4" s="1">
        <v>0.0</v>
      </c>
      <c r="BA4" s="1">
        <v>0.0</v>
      </c>
      <c r="BB4" s="1">
        <v>-0.801052049486487</v>
      </c>
      <c r="BC4" s="1">
        <v>1.31094851474911</v>
      </c>
      <c r="BD4" s="1">
        <v>61.1501217996371</v>
      </c>
      <c r="BE4" s="1">
        <v>8.37463463820456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1">
        <v>0.0</v>
      </c>
      <c r="BR4" s="1">
        <v>0.0</v>
      </c>
      <c r="BS4" s="1">
        <v>0.0</v>
      </c>
      <c r="BT4" s="1">
        <v>-0.0058995500232295</v>
      </c>
      <c r="BU4" s="1">
        <v>0.623134515403397</v>
      </c>
      <c r="BV4" s="1">
        <v>6.05797681398637</v>
      </c>
      <c r="BW4" s="1">
        <v>10.997760646307</v>
      </c>
      <c r="BX4" s="1">
        <v>0.0</v>
      </c>
      <c r="BY4" s="1">
        <v>0.0</v>
      </c>
      <c r="BZ4" s="1">
        <v>0.0</v>
      </c>
      <c r="CA4" s="1">
        <v>-0.193688789908695</v>
      </c>
      <c r="CB4" s="1">
        <v>4.59264934481596</v>
      </c>
      <c r="CC4" s="1">
        <v>0.0</v>
      </c>
      <c r="CD4" s="1">
        <v>0.0</v>
      </c>
      <c r="CE4" s="1">
        <v>0.0</v>
      </c>
      <c r="CF4" s="1">
        <v>0.0</v>
      </c>
      <c r="CG4" s="1">
        <v>0.0</v>
      </c>
      <c r="CH4" s="1">
        <v>0.0</v>
      </c>
      <c r="CI4" s="1">
        <v>1.04855714516231</v>
      </c>
      <c r="CJ4" s="1">
        <v>1.98619134927809</v>
      </c>
      <c r="CK4" s="1">
        <v>1.04855714516231</v>
      </c>
      <c r="CL4" s="1">
        <v>2.60476160825977</v>
      </c>
      <c r="CM4" s="1">
        <v>0.0</v>
      </c>
      <c r="CN4" s="1">
        <v>-0.36458363282622</v>
      </c>
      <c r="CO4" s="1">
        <v>-0.0811059488760908</v>
      </c>
      <c r="CP4" s="1">
        <v>0.110932370646559</v>
      </c>
      <c r="CQ4" s="1">
        <v>0.0</v>
      </c>
      <c r="CR4" s="1">
        <v>0.0</v>
      </c>
      <c r="CS4" s="1">
        <v>0.0</v>
      </c>
      <c r="CT4" s="1">
        <v>91.6505686873178</v>
      </c>
      <c r="CU4" s="1">
        <v>-235.033865623297</v>
      </c>
      <c r="CV4" s="1">
        <v>-223.9890618337</v>
      </c>
      <c r="CW4" s="1">
        <v>43.2291434191977</v>
      </c>
      <c r="CX4" s="1">
        <v>0.953007606966311</v>
      </c>
      <c r="CY4" s="1">
        <v>0.471673488101112</v>
      </c>
      <c r="CZ4" s="1">
        <v>3.45165548954137</v>
      </c>
      <c r="DA4" s="1">
        <v>1.11427077815077</v>
      </c>
      <c r="DB4" s="1">
        <v>10.41573536</v>
      </c>
      <c r="DC4" s="1">
        <v>1.162</v>
      </c>
      <c r="DD4" s="1">
        <v>100.0</v>
      </c>
      <c r="DE4" s="1">
        <v>25.32</v>
      </c>
      <c r="DF4" s="1">
        <v>4.16485833333333</v>
      </c>
      <c r="DG4" s="1">
        <v>25.1568624161074</v>
      </c>
    </row>
    <row r="5" hidden="1">
      <c r="A5" s="1" t="s">
        <v>129</v>
      </c>
      <c r="B5" s="2">
        <v>-4.0</v>
      </c>
      <c r="C5" s="2">
        <v>15.0</v>
      </c>
      <c r="D5" s="2">
        <v>941.429091751649</v>
      </c>
      <c r="E5" s="2">
        <v>355.994305007775</v>
      </c>
      <c r="F5" s="12">
        <f t="shared" si="1"/>
        <v>5.974503984</v>
      </c>
      <c r="G5" s="2">
        <v>2.25921362778565</v>
      </c>
      <c r="H5" s="2">
        <v>2.67366054737602</v>
      </c>
      <c r="I5" s="2">
        <v>1.01376329348554</v>
      </c>
      <c r="J5" s="2">
        <v>2.64450604548599</v>
      </c>
      <c r="K5" s="2">
        <v>64.2430447389903</v>
      </c>
      <c r="L5" s="2">
        <v>35.7569552610096</v>
      </c>
      <c r="M5" s="2">
        <v>3.40374622692945</v>
      </c>
      <c r="N5" s="13">
        <v>3.16470445589373E-6</v>
      </c>
      <c r="O5" s="2">
        <v>5.22648136592994E-4</v>
      </c>
      <c r="P5" s="2">
        <v>1.29349460933217</v>
      </c>
      <c r="Q5" s="13">
        <v>6.24860865428355E-6</v>
      </c>
      <c r="R5" s="2">
        <v>0.0019325335392459</v>
      </c>
      <c r="S5" s="2">
        <v>64.1591352754868</v>
      </c>
      <c r="T5" s="2">
        <v>0.0023980910157965</v>
      </c>
      <c r="U5" s="2">
        <v>7.63263209223018E-4</v>
      </c>
      <c r="V5" s="2">
        <v>348.69973270861</v>
      </c>
      <c r="W5" s="2">
        <v>75.0312577368823</v>
      </c>
      <c r="X5" s="2">
        <v>271.316489690695</v>
      </c>
      <c r="Y5" s="2">
        <v>22.3538338591401</v>
      </c>
      <c r="Z5" s="2">
        <v>16.893305697886</v>
      </c>
      <c r="AA5" s="2">
        <v>8.34198684885621</v>
      </c>
      <c r="AB5" s="2">
        <v>8.77005260088056</v>
      </c>
      <c r="AC5" s="2">
        <v>9.86714834506604</v>
      </c>
      <c r="AD5" s="2">
        <v>10.0755593155721</v>
      </c>
      <c r="AE5" s="2">
        <v>7.89118478670067</v>
      </c>
      <c r="AF5" s="2">
        <v>8.18785256688814</v>
      </c>
      <c r="AG5" s="2">
        <v>14.7237558210555</v>
      </c>
      <c r="AH5" s="2">
        <v>16.2433212188757</v>
      </c>
      <c r="AI5" s="2">
        <v>1.802506110908</v>
      </c>
      <c r="AJ5" s="2">
        <v>2.97823668136832</v>
      </c>
      <c r="AK5" s="2">
        <v>6.39177004442844</v>
      </c>
      <c r="AL5" s="2">
        <v>1.37047243272944</v>
      </c>
      <c r="AM5" s="2">
        <v>1.79975860338625</v>
      </c>
      <c r="AN5" s="2">
        <v>0.0</v>
      </c>
      <c r="AO5" s="2">
        <v>0.0</v>
      </c>
      <c r="AP5" s="2">
        <v>352.593232353784</v>
      </c>
      <c r="AQ5" s="2">
        <v>178.202267942534</v>
      </c>
      <c r="AR5" s="2">
        <v>267.406703757532</v>
      </c>
      <c r="AS5" s="2">
        <v>76.4842528045676</v>
      </c>
      <c r="AT5" s="2">
        <v>5.72179753346984</v>
      </c>
      <c r="AU5" s="2">
        <v>0.0</v>
      </c>
      <c r="AV5" s="2">
        <v>0.0</v>
      </c>
      <c r="AW5" s="2">
        <v>43.848815656312</v>
      </c>
      <c r="AX5" s="2">
        <v>97.3505655710019</v>
      </c>
      <c r="AY5" s="2">
        <v>31.9329789775094</v>
      </c>
      <c r="AZ5" s="2">
        <v>0.0</v>
      </c>
      <c r="BA5" s="2">
        <v>0.0</v>
      </c>
      <c r="BB5" s="2">
        <v>-2.7413192752556</v>
      </c>
      <c r="BC5" s="2">
        <v>5.06990773771136</v>
      </c>
      <c r="BD5" s="2">
        <v>247.204145301701</v>
      </c>
      <c r="BE5" s="2">
        <v>33.0941989676163</v>
      </c>
      <c r="BF5" s="2">
        <v>0.0</v>
      </c>
      <c r="BG5" s="2">
        <v>0.0</v>
      </c>
      <c r="BH5" s="2">
        <v>0.0</v>
      </c>
      <c r="BI5" s="2">
        <v>0.0</v>
      </c>
      <c r="BJ5" s="2">
        <v>0.0</v>
      </c>
      <c r="BK5" s="2">
        <v>0.0</v>
      </c>
      <c r="BL5" s="2">
        <v>0.0</v>
      </c>
      <c r="BM5" s="2">
        <v>0.0</v>
      </c>
      <c r="BN5" s="2">
        <v>0.0</v>
      </c>
      <c r="BO5" s="2">
        <v>0.0</v>
      </c>
      <c r="BP5" s="2">
        <v>0.0</v>
      </c>
      <c r="BQ5" s="2">
        <v>0.0</v>
      </c>
      <c r="BR5" s="2">
        <v>0.0</v>
      </c>
      <c r="BS5" s="2">
        <v>0.0</v>
      </c>
      <c r="BT5" s="2">
        <v>-0.0655525566646434</v>
      </c>
      <c r="BU5" s="2">
        <v>2.1261299647509</v>
      </c>
      <c r="BV5" s="2">
        <v>19.7845651741802</v>
      </c>
      <c r="BW5" s="2">
        <v>43.2036815118961</v>
      </c>
      <c r="BX5" s="2">
        <v>0.0</v>
      </c>
      <c r="BY5" s="2">
        <v>0.0</v>
      </c>
      <c r="BZ5" s="2">
        <v>0.0</v>
      </c>
      <c r="CA5" s="2">
        <v>0.0125604747565184</v>
      </c>
      <c r="CB5" s="2">
        <v>17.4255165139107</v>
      </c>
      <c r="CC5" s="2">
        <v>0.0</v>
      </c>
      <c r="CD5" s="2">
        <v>0.0</v>
      </c>
      <c r="CE5" s="2">
        <v>0.0</v>
      </c>
      <c r="CF5" s="2">
        <v>0.0</v>
      </c>
      <c r="CG5" s="2">
        <v>0.0</v>
      </c>
      <c r="CH5" s="2">
        <v>0.0</v>
      </c>
      <c r="CI5" s="2">
        <v>3.71138541496828</v>
      </c>
      <c r="CJ5" s="2">
        <v>6.90050111260886</v>
      </c>
      <c r="CK5" s="2">
        <v>3.71138541496828</v>
      </c>
      <c r="CL5" s="2">
        <v>9.46990712126586</v>
      </c>
      <c r="CM5" s="2">
        <v>0.0</v>
      </c>
      <c r="CN5" s="2">
        <v>-2.41541657805556</v>
      </c>
      <c r="CO5" s="2">
        <v>-0.0944876215541655</v>
      </c>
      <c r="CP5" s="2">
        <v>0.22315145117508</v>
      </c>
      <c r="CQ5" s="2">
        <v>0.0</v>
      </c>
      <c r="CR5" s="2">
        <v>0.0</v>
      </c>
      <c r="CS5" s="2">
        <v>0.0</v>
      </c>
      <c r="CT5" s="2">
        <v>355.994305007775</v>
      </c>
      <c r="CU5" s="2">
        <v>-941.429091751649</v>
      </c>
      <c r="CV5" s="2">
        <v>-888.81814190768</v>
      </c>
      <c r="CW5" s="2">
        <v>168.354692970865</v>
      </c>
      <c r="CX5" s="2">
        <v>0.944115865650509</v>
      </c>
      <c r="CY5" s="2">
        <v>0.472914006214757</v>
      </c>
      <c r="CZ5" s="2">
        <v>3.45165548954137</v>
      </c>
      <c r="DA5" s="2">
        <v>1.11427077815077</v>
      </c>
      <c r="DB5" s="2">
        <v>15.60125168</v>
      </c>
      <c r="DC5" s="2">
        <v>1.162</v>
      </c>
      <c r="DD5" s="2">
        <v>100.0</v>
      </c>
      <c r="DE5" s="2">
        <v>49.926</v>
      </c>
      <c r="DF5" s="2">
        <v>6.94510944444444</v>
      </c>
      <c r="DG5" s="2">
        <v>25.0023939999999</v>
      </c>
      <c r="DH5" s="12"/>
      <c r="DI5" s="12"/>
    </row>
    <row r="6">
      <c r="A6" s="1" t="s">
        <v>131</v>
      </c>
      <c r="B6" s="1">
        <v>8.0</v>
      </c>
      <c r="C6" s="1">
        <v>10.0</v>
      </c>
      <c r="D6" s="1">
        <v>216.79268922356</v>
      </c>
      <c r="E6" s="1">
        <v>86.7197624556859</v>
      </c>
      <c r="F6" s="3">
        <f t="shared" si="1"/>
        <v>3.086502136</v>
      </c>
      <c r="G6" s="1">
        <v>1.23463903974563</v>
      </c>
      <c r="H6" s="1">
        <v>1.38124585393812</v>
      </c>
      <c r="I6" s="1">
        <v>0.553972192471277</v>
      </c>
      <c r="J6" s="1">
        <v>2.49992254457964</v>
      </c>
      <c r="K6" s="1">
        <v>65.5001006728558</v>
      </c>
      <c r="L6" s="1">
        <v>34.4998993271441</v>
      </c>
      <c r="M6" s="1">
        <v>3.08310483724041</v>
      </c>
      <c r="N6" s="4">
        <v>5.4602761083772E-6</v>
      </c>
      <c r="O6" s="1">
        <v>7.57912394634217E-4</v>
      </c>
      <c r="P6" s="1">
        <v>1.23504151788682</v>
      </c>
      <c r="Q6" s="4">
        <v>2.02038876421913E-7</v>
      </c>
      <c r="R6" s="1">
        <v>3.63945132164444E-4</v>
      </c>
      <c r="S6" s="1">
        <v>65.4713256607897</v>
      </c>
      <c r="T6" s="1">
        <v>1.80663821242732E-4</v>
      </c>
      <c r="U6" s="1">
        <v>2.05297878414776E-4</v>
      </c>
      <c r="V6" s="1">
        <v>82.9512553479699</v>
      </c>
      <c r="W6" s="1">
        <v>17.7669941375823</v>
      </c>
      <c r="X6" s="1">
        <v>64.7926905912227</v>
      </c>
      <c r="Y6" s="1">
        <v>5.35050252453979</v>
      </c>
      <c r="Z6" s="1">
        <v>3.92714626140735</v>
      </c>
      <c r="AA6" s="1">
        <v>2.00733046001206</v>
      </c>
      <c r="AB6" s="1">
        <v>1.99252382619129</v>
      </c>
      <c r="AC6" s="1">
        <v>2.35950895688342</v>
      </c>
      <c r="AD6" s="1">
        <v>2.41847913360892</v>
      </c>
      <c r="AE6" s="1">
        <v>1.81670055715701</v>
      </c>
      <c r="AF6" s="1">
        <v>1.99022914120604</v>
      </c>
      <c r="AG6" s="1">
        <v>3.43118924437347</v>
      </c>
      <c r="AH6" s="1">
        <v>3.79962249305818</v>
      </c>
      <c r="AI6" s="1">
        <v>0.428369556121458</v>
      </c>
      <c r="AJ6" s="1">
        <v>0.653069635417074</v>
      </c>
      <c r="AK6" s="1">
        <v>1.54983392515284</v>
      </c>
      <c r="AL6" s="1">
        <v>0.332809325456665</v>
      </c>
      <c r="AM6" s="1">
        <v>0.437054609370524</v>
      </c>
      <c r="AN6" s="1">
        <v>0.0</v>
      </c>
      <c r="AO6" s="1">
        <v>0.0</v>
      </c>
      <c r="AP6" s="1">
        <v>79.2300910548465</v>
      </c>
      <c r="AQ6" s="1">
        <v>41.2957357523679</v>
      </c>
      <c r="AR6" s="1">
        <v>60.0553382557107</v>
      </c>
      <c r="AS6" s="1">
        <v>17.228278491386</v>
      </c>
      <c r="AT6" s="1">
        <v>1.28208218562658</v>
      </c>
      <c r="AU6" s="1">
        <v>0.0</v>
      </c>
      <c r="AV6" s="1">
        <v>0.0</v>
      </c>
      <c r="AW6" s="1">
        <v>10.2001507519539</v>
      </c>
      <c r="AX6" s="1">
        <v>22.2128865497742</v>
      </c>
      <c r="AY6" s="1">
        <v>7.67002685584072</v>
      </c>
      <c r="AZ6" s="1">
        <v>0.0</v>
      </c>
      <c r="BA6" s="1">
        <v>0.0</v>
      </c>
      <c r="BB6" s="1">
        <v>-0.617690063503354</v>
      </c>
      <c r="BC6" s="1">
        <v>1.21267159479904</v>
      </c>
      <c r="BD6" s="1">
        <v>56.7352628155319</v>
      </c>
      <c r="BE6" s="1">
        <v>7.66326943983901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-0.0458510709542883</v>
      </c>
      <c r="BU6" s="1">
        <v>0.616986743793957</v>
      </c>
      <c r="BV6" s="1">
        <v>5.51715819837658</v>
      </c>
      <c r="BW6" s="1">
        <v>10.6406086787111</v>
      </c>
      <c r="BX6" s="1">
        <v>0.0</v>
      </c>
      <c r="BY6" s="1">
        <v>0.0</v>
      </c>
      <c r="BZ6" s="1">
        <v>0.0</v>
      </c>
      <c r="CA6" s="1">
        <v>-0.205309692155205</v>
      </c>
      <c r="CB6" s="1">
        <v>4.35215748885137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</v>
      </c>
      <c r="CI6" s="1">
        <v>1.42101630593068</v>
      </c>
      <c r="CJ6" s="1">
        <v>3.40221615936678</v>
      </c>
      <c r="CK6" s="1">
        <v>1.42101630593068</v>
      </c>
      <c r="CL6" s="1">
        <v>2.62247520426599</v>
      </c>
      <c r="CM6" s="1">
        <v>0.0</v>
      </c>
      <c r="CN6" s="1">
        <v>-0.0358159971457026</v>
      </c>
      <c r="CO6" s="1">
        <v>-0.170091720854288</v>
      </c>
      <c r="CP6" s="1">
        <v>0.111284416886423</v>
      </c>
      <c r="CQ6" s="1">
        <v>0.0</v>
      </c>
      <c r="CR6" s="1">
        <v>0.0</v>
      </c>
      <c r="CS6" s="1">
        <v>0.0</v>
      </c>
      <c r="CT6" s="1">
        <v>86.7197624556859</v>
      </c>
      <c r="CU6" s="1">
        <v>-216.79268922356</v>
      </c>
      <c r="CV6" s="1">
        <v>-199.378962730736</v>
      </c>
      <c r="CW6" s="1">
        <v>39.4920266408295</v>
      </c>
      <c r="CX6" s="1">
        <v>0.919675674695531</v>
      </c>
      <c r="CY6" s="1">
        <v>0.455398233603442</v>
      </c>
      <c r="CZ6" s="1">
        <v>3.4519273373328</v>
      </c>
      <c r="DA6" s="1">
        <v>1.11435109607026</v>
      </c>
      <c r="DB6" s="1">
        <v>10.41573536</v>
      </c>
      <c r="DC6" s="1">
        <v>1.162</v>
      </c>
      <c r="DD6" s="1">
        <v>100.0</v>
      </c>
      <c r="DE6" s="1">
        <v>705.081</v>
      </c>
      <c r="DF6" s="1">
        <v>100.095887222222</v>
      </c>
      <c r="DG6" s="1">
        <v>720.690388000001</v>
      </c>
    </row>
    <row r="7">
      <c r="A7" s="1" t="s">
        <v>133</v>
      </c>
      <c r="B7" s="1">
        <v>-6.0</v>
      </c>
      <c r="C7" s="1">
        <v>10.0</v>
      </c>
      <c r="D7" s="1">
        <v>242.032008693434</v>
      </c>
      <c r="E7" s="1">
        <v>94.5959331422965</v>
      </c>
      <c r="F7" s="3">
        <f t="shared" si="1"/>
        <v>3.445961579</v>
      </c>
      <c r="G7" s="1">
        <v>1.34682168562023</v>
      </c>
      <c r="H7" s="1">
        <v>1.54210816484979</v>
      </c>
      <c r="I7" s="1">
        <v>0.604329419730309</v>
      </c>
      <c r="J7" s="1">
        <v>2.5585878869587</v>
      </c>
      <c r="K7" s="1">
        <v>62.9741732870993</v>
      </c>
      <c r="L7" s="1">
        <v>37.0258267129006</v>
      </c>
      <c r="M7" s="1">
        <v>3.4346250863873</v>
      </c>
      <c r="N7" s="4">
        <v>9.27468962087064E-7</v>
      </c>
      <c r="O7" s="1">
        <v>2.80395057909969E-4</v>
      </c>
      <c r="P7" s="1">
        <v>1.34653061038476</v>
      </c>
      <c r="Q7" s="4">
        <v>2.52773643162944E-7</v>
      </c>
      <c r="R7" s="1">
        <v>3.7337880666898E-4</v>
      </c>
      <c r="S7" s="1">
        <v>62.9693361784479</v>
      </c>
      <c r="T7" s="1">
        <v>1.14746877685297E-4</v>
      </c>
      <c r="U7" s="1">
        <v>1.70114496273177E-4</v>
      </c>
      <c r="V7" s="1">
        <v>86.7908112586823</v>
      </c>
      <c r="W7" s="1">
        <v>18.7707062031898</v>
      </c>
      <c r="X7" s="1">
        <v>67.387317544819</v>
      </c>
      <c r="Y7" s="1">
        <v>5.60420921880453</v>
      </c>
      <c r="Z7" s="1">
        <v>4.36584956124006</v>
      </c>
      <c r="AA7" s="1">
        <v>2.05345534531456</v>
      </c>
      <c r="AB7" s="1">
        <v>2.21490267526953</v>
      </c>
      <c r="AC7" s="1">
        <v>2.3912926843998</v>
      </c>
      <c r="AD7" s="1">
        <v>2.54199515856895</v>
      </c>
      <c r="AE7" s="1">
        <v>2.03379548245896</v>
      </c>
      <c r="AF7" s="1">
        <v>2.03264355873381</v>
      </c>
      <c r="AG7" s="1">
        <v>3.67365947267241</v>
      </c>
      <c r="AH7" s="1">
        <v>4.02622994894337</v>
      </c>
      <c r="AI7" s="1">
        <v>0.433711061374232</v>
      </c>
      <c r="AJ7" s="1">
        <v>0.705135902917013</v>
      </c>
      <c r="AK7" s="1">
        <v>1.6447542350029</v>
      </c>
      <c r="AL7" s="1">
        <v>0.339566381045213</v>
      </c>
      <c r="AM7" s="1">
        <v>0.439339757635378</v>
      </c>
      <c r="AN7" s="1">
        <v>0.0</v>
      </c>
      <c r="AO7" s="1">
        <v>0.0</v>
      </c>
      <c r="AP7" s="1">
        <v>91.8246994665213</v>
      </c>
      <c r="AQ7" s="1">
        <v>48.3587368692974</v>
      </c>
      <c r="AR7" s="1">
        <v>68.7914884405947</v>
      </c>
      <c r="AS7" s="1">
        <v>20.9163861866659</v>
      </c>
      <c r="AT7" s="1">
        <v>1.43685489907611</v>
      </c>
      <c r="AU7" s="1">
        <v>0.0</v>
      </c>
      <c r="AV7" s="1">
        <v>0.0</v>
      </c>
      <c r="AW7" s="1">
        <v>12.2206490748284</v>
      </c>
      <c r="AX7" s="1">
        <v>26.5969065781973</v>
      </c>
      <c r="AY7" s="1">
        <v>7.95771034045942</v>
      </c>
      <c r="AZ7" s="1">
        <v>0.0</v>
      </c>
      <c r="BA7" s="1">
        <v>0.0</v>
      </c>
      <c r="BB7" s="1">
        <v>-0.756884958891524</v>
      </c>
      <c r="BC7" s="1">
        <v>1.58347087581226</v>
      </c>
      <c r="BD7" s="1">
        <v>63.8731979637279</v>
      </c>
      <c r="BE7" s="1">
        <v>8.88944154280935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</v>
      </c>
      <c r="BS7" s="1">
        <v>0.0</v>
      </c>
      <c r="BT7" s="1">
        <v>-0.0179233987921638</v>
      </c>
      <c r="BU7" s="1">
        <v>0.667834930566878</v>
      </c>
      <c r="BV7" s="1">
        <v>6.41893249163846</v>
      </c>
      <c r="BW7" s="1">
        <v>11.402113108904</v>
      </c>
      <c r="BX7" s="1">
        <v>0.0</v>
      </c>
      <c r="BY7" s="1">
        <v>0.0</v>
      </c>
      <c r="BZ7" s="1">
        <v>0.0</v>
      </c>
      <c r="CA7" s="1">
        <v>-0.145669767473625</v>
      </c>
      <c r="CB7" s="1">
        <v>4.68659238812948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0.963477067605762</v>
      </c>
      <c r="CJ7" s="1">
        <v>1.47239079692302</v>
      </c>
      <c r="CK7" s="1">
        <v>0.963477067605762</v>
      </c>
      <c r="CL7" s="1">
        <v>2.71181912874705</v>
      </c>
      <c r="CM7" s="1">
        <v>0.0</v>
      </c>
      <c r="CN7" s="1">
        <v>-0.817119718178232</v>
      </c>
      <c r="CO7" s="1">
        <v>-0.0524035602776755</v>
      </c>
      <c r="CP7" s="1">
        <v>0.106430424468465</v>
      </c>
      <c r="CQ7" s="1">
        <v>0.0</v>
      </c>
      <c r="CR7" s="1">
        <v>0.0</v>
      </c>
      <c r="CS7" s="1">
        <v>0.0</v>
      </c>
      <c r="CT7" s="1">
        <v>94.5959331422965</v>
      </c>
      <c r="CU7" s="1">
        <v>-242.032008693434</v>
      </c>
      <c r="CV7" s="1">
        <v>-234.477391258627</v>
      </c>
      <c r="CW7" s="1">
        <v>45.3050404708135</v>
      </c>
      <c r="CX7" s="1">
        <v>0.968786701083095</v>
      </c>
      <c r="CY7" s="1">
        <v>0.478932222198845</v>
      </c>
      <c r="CZ7" s="1">
        <v>3.4510080425977</v>
      </c>
      <c r="DA7" s="1">
        <v>1.11431087222369</v>
      </c>
      <c r="DB7" s="1">
        <v>10.41573536</v>
      </c>
      <c r="DC7" s="1">
        <v>1.162</v>
      </c>
      <c r="DD7" s="1">
        <v>100.0</v>
      </c>
      <c r="DE7" s="1">
        <v>47.777</v>
      </c>
      <c r="DF7" s="1">
        <v>3.53416638888888</v>
      </c>
      <c r="DG7" s="1">
        <v>25.4459979999999</v>
      </c>
    </row>
    <row r="8">
      <c r="A8" s="1" t="s">
        <v>134</v>
      </c>
      <c r="B8" s="1">
        <v>-6.0</v>
      </c>
      <c r="C8" s="1">
        <v>15.0</v>
      </c>
      <c r="D8" s="1">
        <v>547.058082528251</v>
      </c>
      <c r="E8" s="1">
        <v>211.617073390587</v>
      </c>
      <c r="F8" s="3">
        <f t="shared" si="1"/>
        <v>3.49159947</v>
      </c>
      <c r="G8" s="1">
        <v>1.35064646713414</v>
      </c>
      <c r="H8" s="1">
        <v>1.56253173247675</v>
      </c>
      <c r="I8" s="1">
        <v>0.606045629097574</v>
      </c>
      <c r="J8" s="1">
        <v>2.58513206785792</v>
      </c>
      <c r="K8" s="1">
        <v>63.1545902967043</v>
      </c>
      <c r="L8" s="1">
        <v>36.8454097032956</v>
      </c>
      <c r="M8" s="1">
        <v>3.48269942878504</v>
      </c>
      <c r="N8" s="4">
        <v>2.14078120418422E-7</v>
      </c>
      <c r="O8" s="1">
        <v>1.32852627110317E-4</v>
      </c>
      <c r="P8" s="1">
        <v>1.35068596507769</v>
      </c>
      <c r="Q8" s="4">
        <v>1.87018035187525E-7</v>
      </c>
      <c r="R8" s="1">
        <v>3.20174955504582E-4</v>
      </c>
      <c r="S8" s="1">
        <v>63.1665365455911</v>
      </c>
      <c r="T8" s="4">
        <v>6.04844141163856E-5</v>
      </c>
      <c r="U8" s="1">
        <v>1.23121720063893E-4</v>
      </c>
      <c r="V8" s="1">
        <v>196.698765086567</v>
      </c>
      <c r="W8" s="1">
        <v>42.2965210470517</v>
      </c>
      <c r="X8" s="1">
        <v>152.759500919754</v>
      </c>
      <c r="Y8" s="1">
        <v>12.6870204831187</v>
      </c>
      <c r="Z8" s="1">
        <v>9.81311279061839</v>
      </c>
      <c r="AA8" s="1">
        <v>4.68491540975996</v>
      </c>
      <c r="AB8" s="1">
        <v>5.03672395540935</v>
      </c>
      <c r="AC8" s="1">
        <v>5.14576213788379</v>
      </c>
      <c r="AD8" s="1">
        <v>5.76605805909767</v>
      </c>
      <c r="AE8" s="1">
        <v>4.57591345633478</v>
      </c>
      <c r="AF8" s="1">
        <v>4.618862646266</v>
      </c>
      <c r="AG8" s="1">
        <v>8.3799303906609</v>
      </c>
      <c r="AH8" s="1">
        <v>9.10739386700269</v>
      </c>
      <c r="AI8" s="1">
        <v>0.996132382708855</v>
      </c>
      <c r="AJ8" s="1">
        <v>1.6139652781953</v>
      </c>
      <c r="AK8" s="1">
        <v>3.67510142378688</v>
      </c>
      <c r="AL8" s="1">
        <v>0.773186925920773</v>
      </c>
      <c r="AM8" s="1">
        <v>0.981775616440011</v>
      </c>
      <c r="AN8" s="1">
        <v>0.0</v>
      </c>
      <c r="AO8" s="1">
        <v>0.0</v>
      </c>
      <c r="AP8" s="1">
        <v>207.453133994043</v>
      </c>
      <c r="AQ8" s="1">
        <v>108.343446081649</v>
      </c>
      <c r="AR8" s="1">
        <v>155.556321239283</v>
      </c>
      <c r="AS8" s="1">
        <v>46.901451717145</v>
      </c>
      <c r="AT8" s="1">
        <v>3.29890535367372</v>
      </c>
      <c r="AU8" s="1">
        <v>0.0</v>
      </c>
      <c r="AV8" s="1">
        <v>0.0</v>
      </c>
      <c r="AW8" s="1">
        <v>27.1114326005068</v>
      </c>
      <c r="AX8" s="1">
        <v>59.7018178089968</v>
      </c>
      <c r="AY8" s="1">
        <v>18.0045093808149</v>
      </c>
      <c r="AZ8" s="1">
        <v>0.0</v>
      </c>
      <c r="BA8" s="1">
        <v>0.0</v>
      </c>
      <c r="BB8" s="1">
        <v>-1.60244966973236</v>
      </c>
      <c r="BC8" s="1">
        <v>3.52568629133052</v>
      </c>
      <c r="BD8" s="1">
        <v>144.668632225323</v>
      </c>
      <c r="BE8" s="1">
        <v>19.8170387100717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-0.040405494159231</v>
      </c>
      <c r="BU8" s="1">
        <v>1.36612222389621</v>
      </c>
      <c r="BV8" s="1">
        <v>13.427976451347</v>
      </c>
      <c r="BW8" s="1">
        <v>26.0053650671786</v>
      </c>
      <c r="BX8" s="1">
        <v>0.0</v>
      </c>
      <c r="BY8" s="1">
        <v>0.0</v>
      </c>
      <c r="BZ8" s="1">
        <v>0.0</v>
      </c>
      <c r="CA8" s="1">
        <v>-0.100262222994974</v>
      </c>
      <c r="CB8" s="1">
        <v>10.2504865166784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1.93438411184267</v>
      </c>
      <c r="CJ8" s="1">
        <v>3.3250911070292</v>
      </c>
      <c r="CK8" s="1">
        <v>1.93438411184267</v>
      </c>
      <c r="CL8" s="1">
        <v>5.83849129390763</v>
      </c>
      <c r="CM8" s="1">
        <v>0.0</v>
      </c>
      <c r="CN8" s="1">
        <v>-1.98919433804008</v>
      </c>
      <c r="CO8" s="1">
        <v>-0.0627562590294097</v>
      </c>
      <c r="CP8" s="1">
        <v>0.156919276823318</v>
      </c>
      <c r="CQ8" s="1">
        <v>0.0</v>
      </c>
      <c r="CR8" s="1">
        <v>0.0</v>
      </c>
      <c r="CS8" s="1">
        <v>0.0</v>
      </c>
      <c r="CT8" s="1">
        <v>211.617073390587</v>
      </c>
      <c r="CU8" s="1">
        <v>-547.058082528251</v>
      </c>
      <c r="CV8" s="1">
        <v>-528.063619209783</v>
      </c>
      <c r="CW8" s="1">
        <v>101.594082754431</v>
      </c>
      <c r="CX8" s="1">
        <v>0.965278890989628</v>
      </c>
      <c r="CY8" s="1">
        <v>0.480084527806111</v>
      </c>
      <c r="CZ8" s="1">
        <v>3.4510080425977</v>
      </c>
      <c r="DA8" s="1">
        <v>1.11431087222369</v>
      </c>
      <c r="DB8" s="1">
        <v>15.55654895</v>
      </c>
      <c r="DC8" s="1">
        <v>1.162</v>
      </c>
      <c r="DD8" s="1">
        <v>100.0</v>
      </c>
      <c r="DE8" s="1">
        <v>44.234</v>
      </c>
      <c r="DF8" s="1">
        <v>3.48052944444443</v>
      </c>
      <c r="DG8" s="1">
        <v>25.0598119999999</v>
      </c>
    </row>
    <row r="9">
      <c r="A9" s="1" t="s">
        <v>136</v>
      </c>
      <c r="B9" s="1">
        <v>-8.0</v>
      </c>
      <c r="C9" s="1">
        <v>15.0</v>
      </c>
      <c r="D9" s="1">
        <v>489.790778223283</v>
      </c>
      <c r="E9" s="1">
        <v>192.764628851499</v>
      </c>
      <c r="F9" s="3">
        <f t="shared" si="1"/>
        <v>3.125940878</v>
      </c>
      <c r="G9" s="1">
        <v>1.23026174703202</v>
      </c>
      <c r="H9" s="1">
        <v>1.39889522210768</v>
      </c>
      <c r="I9" s="1">
        <v>0.552001595292736</v>
      </c>
      <c r="J9" s="1">
        <v>2.54087475042221</v>
      </c>
      <c r="K9" s="1">
        <v>65.9599345153833</v>
      </c>
      <c r="L9" s="1">
        <v>34.0400654846166</v>
      </c>
      <c r="M9" s="1">
        <v>3.13056464201991</v>
      </c>
      <c r="N9" s="4">
        <v>3.65914118502146E-5</v>
      </c>
      <c r="O9" s="1">
        <v>0.0019322659795552</v>
      </c>
      <c r="P9" s="1">
        <v>1.23614506663068</v>
      </c>
      <c r="Q9" s="4">
        <v>1.08397966202899E-5</v>
      </c>
      <c r="R9" s="1">
        <v>0.0026634290175715</v>
      </c>
      <c r="S9" s="1">
        <v>65.7222393440413</v>
      </c>
      <c r="T9" s="1">
        <v>0.0128964627297961</v>
      </c>
      <c r="U9" s="1">
        <v>0.0017279172928073</v>
      </c>
      <c r="V9" s="1">
        <v>189.172145207709</v>
      </c>
      <c r="W9" s="1">
        <v>40.1157974102443</v>
      </c>
      <c r="X9" s="1">
        <v>147.736839607099</v>
      </c>
      <c r="Y9" s="1">
        <v>12.111425149572</v>
      </c>
      <c r="Z9" s="1">
        <v>8.98421079437275</v>
      </c>
      <c r="AA9" s="1">
        <v>4.53735655386008</v>
      </c>
      <c r="AB9" s="1">
        <v>4.58349382686667</v>
      </c>
      <c r="AC9" s="1">
        <v>5.12980984422024</v>
      </c>
      <c r="AD9" s="1">
        <v>5.48230313768506</v>
      </c>
      <c r="AE9" s="1">
        <v>4.15518023131256</v>
      </c>
      <c r="AF9" s="1">
        <v>4.48872232917813</v>
      </c>
      <c r="AG9" s="1">
        <v>7.83824533465576</v>
      </c>
      <c r="AH9" s="1">
        <v>8.7287853449414</v>
      </c>
      <c r="AI9" s="1">
        <v>0.977743866276542</v>
      </c>
      <c r="AJ9" s="1">
        <v>1.51229006472054</v>
      </c>
      <c r="AK9" s="1">
        <v>3.47239798499636</v>
      </c>
      <c r="AL9" s="1">
        <v>0.74548760904098</v>
      </c>
      <c r="AM9" s="1">
        <v>0.965405604499444</v>
      </c>
      <c r="AN9" s="1">
        <v>0.0</v>
      </c>
      <c r="AO9" s="1">
        <v>0.0</v>
      </c>
      <c r="AP9" s="1">
        <v>177.096116307633</v>
      </c>
      <c r="AQ9" s="1">
        <v>92.3199819348811</v>
      </c>
      <c r="AR9" s="1">
        <v>134.120353293452</v>
      </c>
      <c r="AS9" s="1">
        <v>38.3580571242546</v>
      </c>
      <c r="AT9" s="1">
        <v>2.99833118528188</v>
      </c>
      <c r="AU9" s="1">
        <v>0.0</v>
      </c>
      <c r="AV9" s="1">
        <v>0.0</v>
      </c>
      <c r="AW9" s="1">
        <v>22.070048487777</v>
      </c>
      <c r="AX9" s="1">
        <v>49.9386124439186</v>
      </c>
      <c r="AY9" s="1">
        <v>17.6255132628524</v>
      </c>
      <c r="AZ9" s="1">
        <v>0.0</v>
      </c>
      <c r="BA9" s="1">
        <v>0.0</v>
      </c>
      <c r="BB9" s="1">
        <v>-1.37895648063726</v>
      </c>
      <c r="BC9" s="1">
        <v>2.68580774033302</v>
      </c>
      <c r="BD9" s="1">
        <v>128.362105369898</v>
      </c>
      <c r="BE9" s="1">
        <v>17.707370480818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-0.162532435443091</v>
      </c>
      <c r="BU9" s="1">
        <v>1.16798709327329</v>
      </c>
      <c r="BV9" s="1">
        <v>12.1537727582207</v>
      </c>
      <c r="BW9" s="1">
        <v>24.1164740737457</v>
      </c>
      <c r="BX9" s="1">
        <v>0.0</v>
      </c>
      <c r="BY9" s="1">
        <v>0.0</v>
      </c>
      <c r="BZ9" s="1">
        <v>0.0</v>
      </c>
      <c r="CA9" s="1">
        <v>-0.268033425429674</v>
      </c>
      <c r="CB9" s="1">
        <v>9.50280004082258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0.0</v>
      </c>
      <c r="CI9" s="1">
        <v>2.90327067204642</v>
      </c>
      <c r="CJ9" s="1">
        <v>6.73557739572213</v>
      </c>
      <c r="CK9" s="1">
        <v>2.90327067204642</v>
      </c>
      <c r="CL9" s="1">
        <v>5.33719107602448</v>
      </c>
      <c r="CM9" s="1">
        <v>0.0</v>
      </c>
      <c r="CN9" s="1">
        <v>-0.116416465784375</v>
      </c>
      <c r="CO9" s="1">
        <v>-0.49550285711294</v>
      </c>
      <c r="CP9" s="1">
        <v>0.171730512302587</v>
      </c>
      <c r="CQ9" s="1">
        <v>0.0</v>
      </c>
      <c r="CR9" s="1">
        <v>0.0</v>
      </c>
      <c r="CS9" s="1">
        <v>0.0</v>
      </c>
      <c r="CT9" s="1">
        <v>192.764628851499</v>
      </c>
      <c r="CU9" s="1">
        <v>-489.790778223283</v>
      </c>
      <c r="CV9" s="1">
        <v>-446.069407819921</v>
      </c>
      <c r="CW9" s="1">
        <v>88.3055036827164</v>
      </c>
      <c r="CX9" s="1">
        <v>0.910734598634213</v>
      </c>
      <c r="CY9" s="1">
        <v>0.458100141135045</v>
      </c>
      <c r="CZ9" s="1">
        <v>3.45106377608804</v>
      </c>
      <c r="DA9" s="1">
        <v>1.11436430394697</v>
      </c>
      <c r="DB9" s="1">
        <v>15.55654895</v>
      </c>
      <c r="DC9" s="1">
        <v>1.162</v>
      </c>
      <c r="DD9" s="1">
        <v>100.0</v>
      </c>
      <c r="DE9" s="1">
        <v>44.936</v>
      </c>
      <c r="DF9" s="1">
        <v>3.81506638888888</v>
      </c>
      <c r="DG9" s="1">
        <v>27.4684779999999</v>
      </c>
    </row>
    <row r="10">
      <c r="A10" s="1" t="s">
        <v>126</v>
      </c>
      <c r="B10" s="17">
        <v>0.0</v>
      </c>
      <c r="C10" s="17">
        <v>10.0</v>
      </c>
      <c r="D10" s="17">
        <v>242.033447672752</v>
      </c>
      <c r="E10" s="1">
        <v>94.6389428402354</v>
      </c>
      <c r="F10" s="3">
        <f t="shared" si="1"/>
        <v>3.445977127</v>
      </c>
      <c r="G10" s="1">
        <v>1.34743213895694</v>
      </c>
      <c r="H10" s="1">
        <v>1.5421151224107</v>
      </c>
      <c r="I10" s="1">
        <v>0.604602468107161</v>
      </c>
      <c r="J10" s="1">
        <v>2.55744031377591</v>
      </c>
      <c r="K10" s="1">
        <v>62.9840886001892</v>
      </c>
      <c r="L10" s="1">
        <v>37.0159113998107</v>
      </c>
      <c r="M10" s="1">
        <v>3.43548907157131</v>
      </c>
      <c r="N10" s="4">
        <v>1.06966123268825E-6</v>
      </c>
      <c r="O10" s="1">
        <v>3.01047175353704E-4</v>
      </c>
      <c r="P10" s="1">
        <v>1.34682968297297</v>
      </c>
      <c r="Q10" s="4">
        <v>4.50743385372117E-7</v>
      </c>
      <c r="R10" s="1">
        <v>4.98484893698877E-4</v>
      </c>
      <c r="S10" s="1">
        <v>62.9851624869918</v>
      </c>
      <c r="T10" s="4">
        <v>6.51639402702684E-5</v>
      </c>
      <c r="U10" s="1">
        <v>1.28163811456503E-4</v>
      </c>
      <c r="V10" s="1">
        <v>86.8432001563164</v>
      </c>
      <c r="W10" s="1">
        <v>18.8057912950546</v>
      </c>
      <c r="X10" s="1">
        <v>67.4240279583334</v>
      </c>
      <c r="Y10" s="1">
        <v>5.60645648711705</v>
      </c>
      <c r="Z10" s="1">
        <v>4.36878462886958</v>
      </c>
      <c r="AA10" s="1">
        <v>2.05485504370551</v>
      </c>
      <c r="AB10" s="1">
        <v>2.22171205653034</v>
      </c>
      <c r="AC10" s="1">
        <v>2.39184051535456</v>
      </c>
      <c r="AD10" s="1">
        <v>2.54306687132933</v>
      </c>
      <c r="AE10" s="1">
        <v>2.03524450391119</v>
      </c>
      <c r="AF10" s="1">
        <v>2.03384678561323</v>
      </c>
      <c r="AG10" s="1">
        <v>3.68871864901309</v>
      </c>
      <c r="AH10" s="1">
        <v>4.03020530029961</v>
      </c>
      <c r="AI10" s="1">
        <v>0.431880950727357</v>
      </c>
      <c r="AJ10" s="1">
        <v>0.705277730733539</v>
      </c>
      <c r="AK10" s="1">
        <v>1.64502326597074</v>
      </c>
      <c r="AL10" s="1">
        <v>0.339885813073836</v>
      </c>
      <c r="AM10" s="1">
        <v>0.439446241775584</v>
      </c>
      <c r="AN10" s="1">
        <v>0.0</v>
      </c>
      <c r="AO10" s="1">
        <v>0.0</v>
      </c>
      <c r="AP10" s="1">
        <v>91.8386418011833</v>
      </c>
      <c r="AQ10" s="1">
        <v>48.4145919121899</v>
      </c>
      <c r="AR10" s="1">
        <v>68.7777557052528</v>
      </c>
      <c r="AS10" s="1">
        <v>20.9441650853712</v>
      </c>
      <c r="AT10" s="1">
        <v>1.43784921309147</v>
      </c>
      <c r="AU10" s="1">
        <v>0.0</v>
      </c>
      <c r="AV10" s="1">
        <v>0.0</v>
      </c>
      <c r="AW10" s="1">
        <v>12.2384722979963</v>
      </c>
      <c r="AX10" s="1">
        <v>26.6291042555743</v>
      </c>
      <c r="AY10" s="1">
        <v>7.96299103398952</v>
      </c>
      <c r="AZ10" s="1">
        <v>0.0</v>
      </c>
      <c r="BA10" s="1">
        <v>0.0</v>
      </c>
      <c r="BB10" s="1">
        <v>-0.758977415623715</v>
      </c>
      <c r="BC10" s="1">
        <v>1.58402432462978</v>
      </c>
      <c r="BD10" s="1">
        <v>63.7448623750711</v>
      </c>
      <c r="BE10" s="1">
        <v>8.89008276377519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-0.0164605297925018</v>
      </c>
      <c r="BU10" s="1">
        <v>0.66746979511768</v>
      </c>
      <c r="BV10" s="1">
        <v>6.43584023261787</v>
      </c>
      <c r="BW10" s="1">
        <v>11.3906550959862</v>
      </c>
      <c r="BX10" s="1">
        <v>0.0</v>
      </c>
      <c r="BY10" s="1">
        <v>0.0</v>
      </c>
      <c r="BZ10" s="1">
        <v>0.0</v>
      </c>
      <c r="CA10" s="1">
        <v>-0.145635113364983</v>
      </c>
      <c r="CB10" s="1">
        <v>4.68369902711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0.0</v>
      </c>
      <c r="CI10" s="1">
        <v>0.96583831328081</v>
      </c>
      <c r="CJ10" s="1">
        <v>1.45822415284052</v>
      </c>
      <c r="CK10" s="1">
        <v>0.96583831328081</v>
      </c>
      <c r="CL10" s="1">
        <v>2.70974790198478</v>
      </c>
      <c r="CM10" s="1">
        <v>0.0</v>
      </c>
      <c r="CN10" s="1">
        <v>-0.806345193372479</v>
      </c>
      <c r="CO10" s="1">
        <v>-0.0556294327936731</v>
      </c>
      <c r="CP10" s="1">
        <v>0.106220594465198</v>
      </c>
      <c r="CQ10" s="1">
        <v>0.0</v>
      </c>
      <c r="CR10" s="1">
        <v>0.0</v>
      </c>
      <c r="CS10" s="1">
        <v>0.0</v>
      </c>
      <c r="CT10" s="1">
        <v>94.6389428402354</v>
      </c>
      <c r="CU10" s="1">
        <v>-242.033447672752</v>
      </c>
      <c r="CV10" s="1">
        <v>-234.43212102141</v>
      </c>
      <c r="CW10" s="1">
        <v>45.347769780396</v>
      </c>
      <c r="CX10" s="1">
        <v>0.96859390003972</v>
      </c>
      <c r="CY10" s="1">
        <v>0.479166064407015</v>
      </c>
      <c r="CZ10" s="1">
        <v>3.45100701123227</v>
      </c>
      <c r="DA10" s="1">
        <v>1.1143124697914</v>
      </c>
      <c r="DB10" s="1">
        <v>10.41573536</v>
      </c>
      <c r="DC10" s="1">
        <v>1.162</v>
      </c>
      <c r="DD10" s="1">
        <v>100.0</v>
      </c>
      <c r="DE10" s="1">
        <v>21.995</v>
      </c>
      <c r="DF10" s="1">
        <v>3.16645666666666</v>
      </c>
      <c r="DG10" s="1">
        <v>22.1775175097276</v>
      </c>
    </row>
    <row r="11">
      <c r="A11" s="1" t="s">
        <v>128</v>
      </c>
      <c r="B11" s="17">
        <v>0.0</v>
      </c>
      <c r="C11" s="17">
        <v>13.0</v>
      </c>
      <c r="D11" s="17">
        <v>380.908909636113</v>
      </c>
      <c r="E11" s="1">
        <v>147.914246423217</v>
      </c>
      <c r="F11" s="3">
        <f t="shared" si="1"/>
        <v>3.476834339</v>
      </c>
      <c r="G11" s="1">
        <v>1.35012155549049</v>
      </c>
      <c r="H11" s="1">
        <v>1.55592419122671</v>
      </c>
      <c r="I11" s="1">
        <v>0.605809228601394</v>
      </c>
      <c r="J11" s="1">
        <v>2.57520096168588</v>
      </c>
      <c r="K11" s="1">
        <v>63.0412490761733</v>
      </c>
      <c r="L11" s="1">
        <v>36.9587509238266</v>
      </c>
      <c r="M11" s="1">
        <v>3.46024537941756</v>
      </c>
      <c r="N11" s="4">
        <v>1.91988888548285E-5</v>
      </c>
      <c r="O11" s="1">
        <v>0.001266284088624</v>
      </c>
      <c r="P11" s="1">
        <v>1.3484483340307</v>
      </c>
      <c r="Q11" s="4">
        <v>5.46934235313677E-6</v>
      </c>
      <c r="R11" s="1">
        <v>0.0017343360177113</v>
      </c>
      <c r="S11" s="1">
        <v>63.0726751619057</v>
      </c>
      <c r="T11" s="1">
        <v>3.30873362748711E-4</v>
      </c>
      <c r="U11" s="1">
        <v>2.8839627798566E-4</v>
      </c>
      <c r="V11" s="1">
        <v>136.714673055791</v>
      </c>
      <c r="W11" s="1">
        <v>29.4788721186633</v>
      </c>
      <c r="X11" s="1">
        <v>106.160387457952</v>
      </c>
      <c r="Y11" s="1">
        <v>8.81723852696386</v>
      </c>
      <c r="Z11" s="1">
        <v>6.85026425084546</v>
      </c>
      <c r="AA11" s="1">
        <v>3.2444829011676</v>
      </c>
      <c r="AB11" s="1">
        <v>3.50014848052168</v>
      </c>
      <c r="AC11" s="1">
        <v>3.65730865492678</v>
      </c>
      <c r="AD11" s="1">
        <v>4.00343847121087</v>
      </c>
      <c r="AE11" s="1">
        <v>3.19214902679028</v>
      </c>
      <c r="AF11" s="1">
        <v>3.20410661065306</v>
      </c>
      <c r="AG11" s="1">
        <v>5.81541903316534</v>
      </c>
      <c r="AH11" s="1">
        <v>6.33957928599464</v>
      </c>
      <c r="AI11" s="1">
        <v>0.686278536223487</v>
      </c>
      <c r="AJ11" s="1">
        <v>1.1162936161232</v>
      </c>
      <c r="AK11" s="1">
        <v>2.56994466150967</v>
      </c>
      <c r="AL11" s="1">
        <v>0.535525702773393</v>
      </c>
      <c r="AM11" s="1">
        <v>0.685560924468619</v>
      </c>
      <c r="AN11" s="1">
        <v>0.0</v>
      </c>
      <c r="AO11" s="1">
        <v>0.0</v>
      </c>
      <c r="AP11" s="1">
        <v>144.518043328884</v>
      </c>
      <c r="AQ11" s="1">
        <v>75.704390371836</v>
      </c>
      <c r="AR11" s="1">
        <v>108.34249067421</v>
      </c>
      <c r="AS11" s="1">
        <v>32.7670521491145</v>
      </c>
      <c r="AT11" s="1">
        <v>2.27898077273289</v>
      </c>
      <c r="AU11" s="1">
        <v>0.0</v>
      </c>
      <c r="AV11" s="1">
        <v>0.0</v>
      </c>
      <c r="AW11" s="1">
        <v>19.0579920693718</v>
      </c>
      <c r="AX11" s="1">
        <v>41.6677166163384</v>
      </c>
      <c r="AY11" s="1">
        <v>12.5105264990328</v>
      </c>
      <c r="AZ11" s="1">
        <v>0.0</v>
      </c>
      <c r="BA11" s="1">
        <v>0.0</v>
      </c>
      <c r="BB11" s="1">
        <v>-1.14946103990675</v>
      </c>
      <c r="BC11" s="1">
        <v>2.46815518709289</v>
      </c>
      <c r="BD11" s="1">
        <v>100.609800037885</v>
      </c>
      <c r="BE11" s="1">
        <v>13.8762066880568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  <c r="BO11" s="1">
        <v>0.0</v>
      </c>
      <c r="BP11" s="1">
        <v>0.0</v>
      </c>
      <c r="BQ11" s="1">
        <v>0.0</v>
      </c>
      <c r="BR11" s="1">
        <v>0.0</v>
      </c>
      <c r="BS11" s="1">
        <v>0.0</v>
      </c>
      <c r="BT11" s="1">
        <v>-0.027101857318402</v>
      </c>
      <c r="BU11" s="1">
        <v>0.997422291376837</v>
      </c>
      <c r="BV11" s="1">
        <v>9.67867327331251</v>
      </c>
      <c r="BW11" s="1">
        <v>18.0500995197283</v>
      </c>
      <c r="BX11" s="1">
        <v>0.0</v>
      </c>
      <c r="BY11" s="1">
        <v>0.0</v>
      </c>
      <c r="BZ11" s="1">
        <v>0.0</v>
      </c>
      <c r="CA11" s="1">
        <v>-0.136337681959277</v>
      </c>
      <c r="CB11" s="1">
        <v>7.24423202058705</v>
      </c>
      <c r="CC11" s="1">
        <v>0.0</v>
      </c>
      <c r="CD11" s="1">
        <v>0.0</v>
      </c>
      <c r="CE11" s="1">
        <v>0.0</v>
      </c>
      <c r="CF11" s="1">
        <v>0.0</v>
      </c>
      <c r="CG11" s="1">
        <v>0.0</v>
      </c>
      <c r="CH11" s="1">
        <v>0.0</v>
      </c>
      <c r="CI11" s="1">
        <v>1.37585835910726</v>
      </c>
      <c r="CJ11" s="1">
        <v>2.29553780912469</v>
      </c>
      <c r="CK11" s="1">
        <v>1.37585835910726</v>
      </c>
      <c r="CL11" s="1">
        <v>4.15040094738679</v>
      </c>
      <c r="CM11" s="1">
        <v>0.0</v>
      </c>
      <c r="CN11" s="1">
        <v>-1.34712155909777</v>
      </c>
      <c r="CO11" s="1">
        <v>-0.0633000388324789</v>
      </c>
      <c r="CP11" s="1">
        <v>0.132263330870598</v>
      </c>
      <c r="CQ11" s="1">
        <v>0.0</v>
      </c>
      <c r="CR11" s="1">
        <v>0.0</v>
      </c>
      <c r="CS11" s="1">
        <v>0.0</v>
      </c>
      <c r="CT11" s="1">
        <v>147.914246423217</v>
      </c>
      <c r="CU11" s="1">
        <v>-380.908909636113</v>
      </c>
      <c r="CV11" s="1">
        <v>-368.522719736485</v>
      </c>
      <c r="CW11" s="1">
        <v>70.9338770299355</v>
      </c>
      <c r="CX11" s="1">
        <v>0.967482540874508</v>
      </c>
      <c r="CY11" s="1">
        <v>0.479560818144432</v>
      </c>
      <c r="CZ11" s="1">
        <v>3.45100701123227</v>
      </c>
      <c r="DA11" s="1">
        <v>1.1143124697914</v>
      </c>
      <c r="DB11" s="1">
        <v>13.00849352</v>
      </c>
      <c r="DC11" s="1">
        <v>1.162</v>
      </c>
      <c r="DD11" s="1">
        <v>100.0</v>
      </c>
      <c r="DE11" s="1">
        <v>37.37</v>
      </c>
      <c r="DF11" s="1">
        <v>6.24341222222221</v>
      </c>
      <c r="DG11" s="1">
        <v>22.4762839999999</v>
      </c>
    </row>
    <row r="12">
      <c r="A12" s="1" t="s">
        <v>130</v>
      </c>
      <c r="B12" s="17">
        <v>0.0</v>
      </c>
      <c r="C12" s="17">
        <v>18.0</v>
      </c>
      <c r="D12" s="17">
        <v>742.289754930264</v>
      </c>
      <c r="E12" s="1">
        <v>286.096586197103</v>
      </c>
      <c r="F12" s="3">
        <f t="shared" si="1"/>
        <v>3.497939272</v>
      </c>
      <c r="G12" s="1">
        <v>1.34819114244569</v>
      </c>
      <c r="H12" s="1">
        <v>1.5653687952213</v>
      </c>
      <c r="I12" s="1">
        <v>0.604943038418151</v>
      </c>
      <c r="J12" s="1">
        <v>2.59454251026564</v>
      </c>
      <c r="K12" s="1">
        <v>63.2749779557331</v>
      </c>
      <c r="L12" s="1">
        <v>36.7250220442668</v>
      </c>
      <c r="M12" s="1">
        <v>3.48685744868928</v>
      </c>
      <c r="N12" s="4">
        <v>2.8670149952316E-6</v>
      </c>
      <c r="O12" s="1">
        <v>4.85602360873912E-4</v>
      </c>
      <c r="P12" s="1">
        <v>1.34879275977179</v>
      </c>
      <c r="Q12" s="4">
        <v>3.52781217075408E-7</v>
      </c>
      <c r="R12" s="1">
        <v>4.40359632963566E-4</v>
      </c>
      <c r="S12" s="1">
        <v>63.2547343859453</v>
      </c>
      <c r="T12" s="1">
        <v>0.001146064181098</v>
      </c>
      <c r="U12" s="1">
        <v>5.35194243145513E-4</v>
      </c>
      <c r="V12" s="1">
        <v>267.481031186145</v>
      </c>
      <c r="W12" s="1">
        <v>57.4606584162173</v>
      </c>
      <c r="X12" s="1">
        <v>207.73205778926</v>
      </c>
      <c r="Y12" s="1">
        <v>17.2686061020937</v>
      </c>
      <c r="Z12" s="1">
        <v>13.2895792763911</v>
      </c>
      <c r="AA12" s="1">
        <v>6.40062949050058</v>
      </c>
      <c r="AB12" s="1">
        <v>6.85354057603396</v>
      </c>
      <c r="AC12" s="1">
        <v>6.88492066469076</v>
      </c>
      <c r="AD12" s="1">
        <v>7.85429569905097</v>
      </c>
      <c r="AE12" s="1">
        <v>6.20200121633548</v>
      </c>
      <c r="AF12" s="1">
        <v>6.3017639379293</v>
      </c>
      <c r="AG12" s="1">
        <v>11.4250393544646</v>
      </c>
      <c r="AH12" s="1">
        <v>12.3680955262204</v>
      </c>
      <c r="AI12" s="1">
        <v>1.36618977329163</v>
      </c>
      <c r="AJ12" s="1">
        <v>2.20233265235353</v>
      </c>
      <c r="AK12" s="1">
        <v>4.97771401889761</v>
      </c>
      <c r="AL12" s="1">
        <v>1.05815808376279</v>
      </c>
      <c r="AM12" s="1">
        <v>1.33172608662108</v>
      </c>
      <c r="AN12" s="1">
        <v>0.0</v>
      </c>
      <c r="AO12" s="1">
        <v>0.0</v>
      </c>
      <c r="AP12" s="1">
        <v>281.901466992747</v>
      </c>
      <c r="AQ12" s="1">
        <v>147.358903155701</v>
      </c>
      <c r="AR12" s="1">
        <v>211.247508871548</v>
      </c>
      <c r="AS12" s="1">
        <v>63.7630602975952</v>
      </c>
      <c r="AT12" s="1">
        <v>4.52124624264625</v>
      </c>
      <c r="AU12" s="1">
        <v>0.0</v>
      </c>
      <c r="AV12" s="1">
        <v>0.0</v>
      </c>
      <c r="AW12" s="1">
        <v>36.7874629692658</v>
      </c>
      <c r="AX12" s="1">
        <v>81.1909767738315</v>
      </c>
      <c r="AY12" s="1">
        <v>24.5819420509264</v>
      </c>
      <c r="AZ12" s="1">
        <v>0.0</v>
      </c>
      <c r="BA12" s="1">
        <v>0.0</v>
      </c>
      <c r="BB12" s="1">
        <v>-2.15159466168804</v>
      </c>
      <c r="BC12" s="1">
        <v>4.79852136167765</v>
      </c>
      <c r="BD12" s="1">
        <v>195.910167781681</v>
      </c>
      <c r="BE12" s="1">
        <v>26.6800390428607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0.0</v>
      </c>
      <c r="BR12" s="1">
        <v>0.0</v>
      </c>
      <c r="BS12" s="1">
        <v>0.0</v>
      </c>
      <c r="BT12" s="1">
        <v>-0.0500501095335507</v>
      </c>
      <c r="BU12" s="1">
        <v>1.76537622760686</v>
      </c>
      <c r="BV12" s="1">
        <v>17.3605895808002</v>
      </c>
      <c r="BW12" s="1">
        <v>34.7089223906011</v>
      </c>
      <c r="BX12" s="1">
        <v>0.0</v>
      </c>
      <c r="BY12" s="1">
        <v>0.0</v>
      </c>
      <c r="BZ12" s="1">
        <v>0.0</v>
      </c>
      <c r="CA12" s="1">
        <v>-0.0507745944037792</v>
      </c>
      <c r="CB12" s="1">
        <v>13.6668605514445</v>
      </c>
      <c r="CC12" s="1">
        <v>0.0</v>
      </c>
      <c r="CD12" s="1">
        <v>0.0</v>
      </c>
      <c r="CE12" s="1">
        <v>0.0</v>
      </c>
      <c r="CF12" s="1">
        <v>0.0</v>
      </c>
      <c r="CG12" s="1">
        <v>0.0</v>
      </c>
      <c r="CH12" s="1">
        <v>0.0</v>
      </c>
      <c r="CI12" s="1">
        <v>2.5544764542818</v>
      </c>
      <c r="CJ12" s="1">
        <v>4.43376241661433</v>
      </c>
      <c r="CK12" s="1">
        <v>2.5544764542818</v>
      </c>
      <c r="CL12" s="1">
        <v>7.75974615362868</v>
      </c>
      <c r="CM12" s="1">
        <v>0.0</v>
      </c>
      <c r="CN12" s="1">
        <v>-2.68633209289973</v>
      </c>
      <c r="CO12" s="1">
        <v>-0.0557471755045304</v>
      </c>
      <c r="CP12" s="1">
        <v>0.182245883939054</v>
      </c>
      <c r="CQ12" s="1">
        <v>0.0</v>
      </c>
      <c r="CR12" s="1">
        <v>0.0</v>
      </c>
      <c r="CS12" s="1">
        <v>0.0</v>
      </c>
      <c r="CT12" s="1">
        <v>286.096586197103</v>
      </c>
      <c r="CU12" s="1">
        <v>-742.289754930264</v>
      </c>
      <c r="CV12" s="1">
        <v>-714.779159905935</v>
      </c>
      <c r="CW12" s="1">
        <v>138.032018119159</v>
      </c>
      <c r="CX12" s="1">
        <v>0.962938199211824</v>
      </c>
      <c r="CY12" s="1">
        <v>0.482466498303702</v>
      </c>
      <c r="CZ12" s="1">
        <v>3.45100701123227</v>
      </c>
      <c r="DA12" s="1">
        <v>1.1143124697914</v>
      </c>
      <c r="DB12" s="1">
        <v>18.10460438</v>
      </c>
      <c r="DC12" s="1">
        <v>1.162</v>
      </c>
      <c r="DD12" s="1">
        <v>100.0</v>
      </c>
      <c r="DE12" s="1">
        <v>72.54</v>
      </c>
      <c r="DF12" s="1">
        <v>7.12640388888889</v>
      </c>
      <c r="DG12" s="1">
        <v>63.9776907730673</v>
      </c>
    </row>
    <row r="13">
      <c r="A13" s="1" t="s">
        <v>132</v>
      </c>
      <c r="B13" s="17">
        <v>0.0</v>
      </c>
      <c r="C13" s="17">
        <v>20.0</v>
      </c>
      <c r="D13" s="17">
        <v>967.953000854187</v>
      </c>
      <c r="E13" s="1">
        <v>372.381063128514</v>
      </c>
      <c r="F13" s="3">
        <f t="shared" si="1"/>
        <v>3.490126222</v>
      </c>
      <c r="G13" s="1">
        <v>1.34268600044621</v>
      </c>
      <c r="H13" s="1">
        <v>1.56187239380871</v>
      </c>
      <c r="I13" s="1">
        <v>0.602472841705502</v>
      </c>
      <c r="J13" s="1">
        <v>2.59936150544833</v>
      </c>
      <c r="K13" s="1">
        <v>63.334096494907</v>
      </c>
      <c r="L13" s="1">
        <v>36.6659035050929</v>
      </c>
      <c r="M13" s="1">
        <v>3.47950990171902</v>
      </c>
      <c r="N13" s="4">
        <v>1.4796122275579E-5</v>
      </c>
      <c r="O13" s="1">
        <v>0.001105492700045</v>
      </c>
      <c r="P13" s="1">
        <v>1.34373835957041</v>
      </c>
      <c r="Q13" s="4">
        <v>1.24951821586532E-6</v>
      </c>
      <c r="R13" s="1">
        <v>8.31872142079091E-4</v>
      </c>
      <c r="S13" s="1">
        <v>63.294769447242</v>
      </c>
      <c r="T13" s="1">
        <v>5.72451602566212E-4</v>
      </c>
      <c r="U13" s="1">
        <v>3.78008499886014E-4</v>
      </c>
      <c r="V13" s="1">
        <v>349.920998707692</v>
      </c>
      <c r="W13" s="1">
        <v>75.0036995133481</v>
      </c>
      <c r="X13" s="1">
        <v>271.840729281551</v>
      </c>
      <c r="Y13" s="1">
        <v>22.591616834638</v>
      </c>
      <c r="Z13" s="1">
        <v>17.2693299377488</v>
      </c>
      <c r="AA13" s="1">
        <v>8.38950963791802</v>
      </c>
      <c r="AB13" s="1">
        <v>8.9546805633147</v>
      </c>
      <c r="AC13" s="1">
        <v>8.86269217670811</v>
      </c>
      <c r="AD13" s="1">
        <v>10.2838232576929</v>
      </c>
      <c r="AE13" s="1">
        <v>8.06042095332246</v>
      </c>
      <c r="AF13" s="1">
        <v>8.25471553657194</v>
      </c>
      <c r="AG13" s="1">
        <v>14.9613558234795</v>
      </c>
      <c r="AH13" s="1">
        <v>16.1895885521388</v>
      </c>
      <c r="AI13" s="1">
        <v>1.79985788567938</v>
      </c>
      <c r="AJ13" s="1">
        <v>2.88568601470244</v>
      </c>
      <c r="AK13" s="1">
        <v>6.49259212915634</v>
      </c>
      <c r="AL13" s="1">
        <v>1.39082075710221</v>
      </c>
      <c r="AM13" s="1">
        <v>1.73592305583491</v>
      </c>
      <c r="AN13" s="1">
        <v>0.0</v>
      </c>
      <c r="AO13" s="1">
        <v>0.0</v>
      </c>
      <c r="AP13" s="1">
        <v>369.188023227867</v>
      </c>
      <c r="AQ13" s="1">
        <v>190.618358178394</v>
      </c>
      <c r="AR13" s="1">
        <v>277.476103617755</v>
      </c>
      <c r="AS13" s="1">
        <v>82.706533889124</v>
      </c>
      <c r="AT13" s="1">
        <v>5.91360825836281</v>
      </c>
      <c r="AU13" s="1">
        <v>0.0</v>
      </c>
      <c r="AV13" s="1">
        <v>0.0</v>
      </c>
      <c r="AW13" s="1">
        <v>46.8390760448826</v>
      </c>
      <c r="AX13" s="1">
        <v>105.307100258544</v>
      </c>
      <c r="AY13" s="1">
        <v>32.320657750444</v>
      </c>
      <c r="AZ13" s="1">
        <v>0.0</v>
      </c>
      <c r="BA13" s="1">
        <v>0.0</v>
      </c>
      <c r="BB13" s="1">
        <v>-2.82183079573786</v>
      </c>
      <c r="BC13" s="1">
        <v>6.15152412452358</v>
      </c>
      <c r="BD13" s="1">
        <v>256.28078032724</v>
      </c>
      <c r="BE13" s="1">
        <v>34.5281869596538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0.0</v>
      </c>
      <c r="BN13" s="1">
        <v>0.0</v>
      </c>
      <c r="BO13" s="1">
        <v>0.0</v>
      </c>
      <c r="BP13" s="1">
        <v>0.0</v>
      </c>
      <c r="BQ13" s="1">
        <v>0.0</v>
      </c>
      <c r="BR13" s="1">
        <v>0.0</v>
      </c>
      <c r="BS13" s="1">
        <v>0.0</v>
      </c>
      <c r="BT13" s="1">
        <v>-0.0841163781762148</v>
      </c>
      <c r="BU13" s="1">
        <v>2.29684960643464</v>
      </c>
      <c r="BV13" s="1">
        <v>19.1488525596624</v>
      </c>
      <c r="BW13" s="1">
        <v>45.4164806101514</v>
      </c>
      <c r="BX13" s="1">
        <v>0.0</v>
      </c>
      <c r="BY13" s="1">
        <v>0.0</v>
      </c>
      <c r="BZ13" s="1">
        <v>0.0</v>
      </c>
      <c r="CA13" s="1">
        <v>0.0208171935263515</v>
      </c>
      <c r="CB13" s="1">
        <v>18.4563089678408</v>
      </c>
      <c r="CC13" s="1">
        <v>0.0</v>
      </c>
      <c r="CD13" s="1">
        <v>0.0</v>
      </c>
      <c r="CE13" s="1">
        <v>0.0</v>
      </c>
      <c r="CF13" s="1">
        <v>0.0</v>
      </c>
      <c r="CG13" s="1">
        <v>0.0</v>
      </c>
      <c r="CH13" s="1">
        <v>0.0</v>
      </c>
      <c r="CI13" s="1">
        <v>3.19498853069861</v>
      </c>
      <c r="CJ13" s="1">
        <v>6.01412135734815</v>
      </c>
      <c r="CK13" s="1">
        <v>3.19498853069861</v>
      </c>
      <c r="CL13" s="1">
        <v>10.3500693041175</v>
      </c>
      <c r="CM13" s="1">
        <v>0.0</v>
      </c>
      <c r="CN13" s="1">
        <v>-3.04231835359676</v>
      </c>
      <c r="CO13" s="1">
        <v>0.0271136446942454</v>
      </c>
      <c r="CP13" s="1">
        <v>0.205441479945336</v>
      </c>
      <c r="CQ13" s="1">
        <v>0.0</v>
      </c>
      <c r="CR13" s="1">
        <v>0.0</v>
      </c>
      <c r="CS13" s="1">
        <v>0.0</v>
      </c>
      <c r="CT13" s="1">
        <v>372.381063128514</v>
      </c>
      <c r="CU13" s="1">
        <v>-967.953000854187</v>
      </c>
      <c r="CV13" s="1">
        <v>-930.966325948706</v>
      </c>
      <c r="CW13" s="1">
        <v>179.49514178403</v>
      </c>
      <c r="CX13" s="1">
        <v>0.96178876983403</v>
      </c>
      <c r="CY13" s="1">
        <v>0.482020058367157</v>
      </c>
      <c r="CZ13" s="1">
        <v>3.45100701123227</v>
      </c>
      <c r="DA13" s="1">
        <v>1.1143124697914</v>
      </c>
      <c r="DB13" s="1">
        <v>20.69736254</v>
      </c>
      <c r="DC13" s="1">
        <v>1.162</v>
      </c>
      <c r="DD13" s="1">
        <v>100.0</v>
      </c>
      <c r="DE13" s="1">
        <v>40.878</v>
      </c>
      <c r="DF13" s="1">
        <v>9.62194749999998</v>
      </c>
      <c r="DG13" s="1">
        <v>56.7852639344261</v>
      </c>
    </row>
    <row r="14">
      <c r="B14" s="21"/>
      <c r="C14" s="21"/>
      <c r="D14" s="21"/>
    </row>
    <row r="15">
      <c r="A15" s="5" t="s">
        <v>118</v>
      </c>
      <c r="B15" s="6">
        <v>0.0</v>
      </c>
      <c r="C15" s="6">
        <v>10.0</v>
      </c>
      <c r="D15" s="6">
        <v>242.038662973093</v>
      </c>
      <c r="E15" s="8">
        <v>94.606275875545</v>
      </c>
      <c r="F15" s="3">
        <f t="shared" ref="F15:F19" si="2">D15/(0.5*DC15*DA15*(DB15^2))</f>
        <v>3.44605632</v>
      </c>
      <c r="G15" s="8">
        <v>1.34696894160646</v>
      </c>
      <c r="H15" s="8">
        <v>1.54215056262622</v>
      </c>
      <c r="I15" s="8">
        <v>0.604395494642568</v>
      </c>
      <c r="J15" s="8">
        <v>2.55837850854098</v>
      </c>
      <c r="K15" s="8">
        <v>62.9755327356903</v>
      </c>
      <c r="L15" s="8">
        <v>37.0244672643096</v>
      </c>
      <c r="M15" s="8">
        <v>3.43466658047813</v>
      </c>
      <c r="N15" s="9">
        <v>1.06684502925091E-6</v>
      </c>
      <c r="O15" s="8">
        <v>3.0072261181469E-4</v>
      </c>
      <c r="P15" s="8">
        <v>1.34651028200911</v>
      </c>
      <c r="Q15" s="9">
        <v>2.24627124725198E-7</v>
      </c>
      <c r="R15" s="8">
        <v>3.51982786415586E-4</v>
      </c>
      <c r="S15" s="8">
        <v>62.9707843210263</v>
      </c>
      <c r="T15" s="9">
        <v>7.57005519064964E-5</v>
      </c>
      <c r="U15" s="8">
        <v>1.381689382479E-4</v>
      </c>
      <c r="V15" s="8">
        <v>86.7953401549734</v>
      </c>
      <c r="W15" s="8">
        <v>18.7717702222853</v>
      </c>
      <c r="X15" s="8">
        <v>67.3905842949296</v>
      </c>
      <c r="Y15" s="8">
        <v>5.60439688271548</v>
      </c>
      <c r="Z15" s="8">
        <v>4.36625119782385</v>
      </c>
      <c r="AA15" s="8">
        <v>2.05347160113754</v>
      </c>
      <c r="AB15" s="8">
        <v>2.2151148256704</v>
      </c>
      <c r="AC15" s="8">
        <v>2.39156056072531</v>
      </c>
      <c r="AD15" s="8">
        <v>2.54204137042429</v>
      </c>
      <c r="AE15" s="8">
        <v>2.03397367410668</v>
      </c>
      <c r="AF15" s="8">
        <v>2.03265092739756</v>
      </c>
      <c r="AG15" s="8">
        <v>3.67388479388959</v>
      </c>
      <c r="AH15" s="8">
        <v>4.02663059885943</v>
      </c>
      <c r="AI15" s="8">
        <v>0.433707701789437</v>
      </c>
      <c r="AJ15" s="8">
        <v>0.705183052047608</v>
      </c>
      <c r="AK15" s="8">
        <v>1.64487435520444</v>
      </c>
      <c r="AL15" s="8">
        <v>0.339558136639107</v>
      </c>
      <c r="AM15" s="8">
        <v>0.439341610008762</v>
      </c>
      <c r="AN15" s="8">
        <v>0.0</v>
      </c>
      <c r="AO15" s="8">
        <v>0.0</v>
      </c>
      <c r="AP15" s="8">
        <v>91.8213323914246</v>
      </c>
      <c r="AQ15" s="8">
        <v>48.3627406774407</v>
      </c>
      <c r="AR15" s="8">
        <v>68.7869354935313</v>
      </c>
      <c r="AS15" s="8">
        <v>20.9179344898558</v>
      </c>
      <c r="AT15" s="8">
        <v>1.43678617670273</v>
      </c>
      <c r="AU15" s="8">
        <v>0.0</v>
      </c>
      <c r="AV15" s="8">
        <v>0.0</v>
      </c>
      <c r="AW15" s="8">
        <v>12.2221779530213</v>
      </c>
      <c r="AX15" s="8">
        <v>26.5986564622888</v>
      </c>
      <c r="AY15" s="8">
        <v>7.95799972620377</v>
      </c>
      <c r="AZ15" s="8">
        <v>0.0</v>
      </c>
      <c r="BA15" s="8">
        <v>0.0</v>
      </c>
      <c r="BB15" s="8">
        <v>-0.757109945368028</v>
      </c>
      <c r="BC15" s="8">
        <v>1.58390653592671</v>
      </c>
      <c r="BD15" s="8">
        <v>63.878175259287</v>
      </c>
      <c r="BE15" s="8">
        <v>8.89000167387644</v>
      </c>
      <c r="BF15" s="8">
        <v>0.0</v>
      </c>
      <c r="BG15" s="8">
        <v>0.0</v>
      </c>
      <c r="BH15" s="8">
        <v>0.0</v>
      </c>
      <c r="BI15" s="8">
        <v>0.0</v>
      </c>
      <c r="BJ15" s="8">
        <v>0.0</v>
      </c>
      <c r="BK15" s="8">
        <v>0.0</v>
      </c>
      <c r="BL15" s="8">
        <v>0.0</v>
      </c>
      <c r="BM15" s="8">
        <v>0.0</v>
      </c>
      <c r="BN15" s="8">
        <v>0.0</v>
      </c>
      <c r="BO15" s="8">
        <v>0.0</v>
      </c>
      <c r="BP15" s="8">
        <v>0.0</v>
      </c>
      <c r="BQ15" s="8">
        <v>0.0</v>
      </c>
      <c r="BR15" s="8">
        <v>0.0</v>
      </c>
      <c r="BS15" s="8">
        <v>0.0</v>
      </c>
      <c r="BT15" s="8">
        <v>-0.0178945548061681</v>
      </c>
      <c r="BU15" s="8">
        <v>0.667777144421426</v>
      </c>
      <c r="BV15" s="8">
        <v>6.42297397106436</v>
      </c>
      <c r="BW15" s="8">
        <v>11.4011417187832</v>
      </c>
      <c r="BX15" s="8">
        <v>0.0</v>
      </c>
      <c r="BY15" s="8">
        <v>0.0</v>
      </c>
      <c r="BZ15" s="8">
        <v>0.0</v>
      </c>
      <c r="CA15" s="8">
        <v>-0.145825095548805</v>
      </c>
      <c r="CB15" s="8">
        <v>4.68552994954204</v>
      </c>
      <c r="CC15" s="8">
        <v>0.0</v>
      </c>
      <c r="CD15" s="8">
        <v>0.0</v>
      </c>
      <c r="CE15" s="8">
        <v>0.0</v>
      </c>
      <c r="CF15" s="8">
        <v>0.0</v>
      </c>
      <c r="CG15" s="8">
        <v>0.0</v>
      </c>
      <c r="CH15" s="8">
        <v>0.0</v>
      </c>
      <c r="CI15" s="8">
        <v>0.970023457650598</v>
      </c>
      <c r="CJ15" s="8">
        <v>1.47311117868522</v>
      </c>
      <c r="CK15" s="8">
        <v>0.970023457650598</v>
      </c>
      <c r="CL15" s="8">
        <v>2.71077770276295</v>
      </c>
      <c r="CM15" s="8">
        <v>0.0</v>
      </c>
      <c r="CN15" s="8">
        <v>-0.819106202234804</v>
      </c>
      <c r="CO15" s="8">
        <v>-0.0518762985483628</v>
      </c>
      <c r="CP15" s="8">
        <v>0.106397758914405</v>
      </c>
      <c r="CQ15" s="8">
        <v>0.0</v>
      </c>
      <c r="CR15" s="8">
        <v>0.0</v>
      </c>
      <c r="CS15" s="8">
        <v>0.0</v>
      </c>
      <c r="CT15" s="8">
        <v>94.606275875545</v>
      </c>
      <c r="CU15" s="8">
        <v>-242.038662973093</v>
      </c>
      <c r="CV15" s="8">
        <v>-234.4774356325</v>
      </c>
      <c r="CW15" s="8">
        <v>45.3073420511598</v>
      </c>
      <c r="CX15" s="8">
        <v>0.968760249921583</v>
      </c>
      <c r="CY15" s="8">
        <v>0.478904191417088</v>
      </c>
      <c r="CZ15" s="8">
        <v>3.4510080425977</v>
      </c>
      <c r="DA15" s="8">
        <v>1.11431087222369</v>
      </c>
      <c r="DB15" s="8">
        <v>10.41573536</v>
      </c>
      <c r="DC15" s="8">
        <v>1.162</v>
      </c>
      <c r="DD15" s="8">
        <v>100.0</v>
      </c>
      <c r="DE15" s="8">
        <v>23.604</v>
      </c>
      <c r="DF15" s="8">
        <v>3.37176333333333</v>
      </c>
      <c r="DG15" s="8">
        <v>24.0840238095238</v>
      </c>
      <c r="DH15" s="5"/>
      <c r="DI15" s="5"/>
    </row>
    <row r="16">
      <c r="A16" s="5" t="s">
        <v>126</v>
      </c>
      <c r="B16" s="6">
        <v>0.0</v>
      </c>
      <c r="C16" s="6">
        <v>10.0</v>
      </c>
      <c r="D16" s="6">
        <v>242.033447672752</v>
      </c>
      <c r="E16" s="8">
        <v>94.6389428402354</v>
      </c>
      <c r="F16" s="3">
        <f t="shared" si="2"/>
        <v>3.445977127</v>
      </c>
      <c r="G16" s="8">
        <v>1.34743213895694</v>
      </c>
      <c r="H16" s="8">
        <v>1.5421151224107</v>
      </c>
      <c r="I16" s="8">
        <v>0.604602468107161</v>
      </c>
      <c r="J16" s="8">
        <v>2.55744031377591</v>
      </c>
      <c r="K16" s="8">
        <v>62.9840886001892</v>
      </c>
      <c r="L16" s="8">
        <v>37.0159113998107</v>
      </c>
      <c r="M16" s="8">
        <v>3.43548907157131</v>
      </c>
      <c r="N16" s="9">
        <v>1.06966123268825E-6</v>
      </c>
      <c r="O16" s="8">
        <v>3.01047175353704E-4</v>
      </c>
      <c r="P16" s="8">
        <v>1.34682968297297</v>
      </c>
      <c r="Q16" s="9">
        <v>4.50743385372117E-7</v>
      </c>
      <c r="R16" s="8">
        <v>4.98484893698877E-4</v>
      </c>
      <c r="S16" s="8">
        <v>62.9851624869918</v>
      </c>
      <c r="T16" s="9">
        <v>6.51639402702684E-5</v>
      </c>
      <c r="U16" s="8">
        <v>1.28163811456503E-4</v>
      </c>
      <c r="V16" s="8">
        <v>86.8432001563164</v>
      </c>
      <c r="W16" s="8">
        <v>18.8057912950546</v>
      </c>
      <c r="X16" s="8">
        <v>67.4240279583334</v>
      </c>
      <c r="Y16" s="8">
        <v>5.60645648711705</v>
      </c>
      <c r="Z16" s="8">
        <v>4.36878462886958</v>
      </c>
      <c r="AA16" s="8">
        <v>2.05485504370551</v>
      </c>
      <c r="AB16" s="8">
        <v>2.22171205653034</v>
      </c>
      <c r="AC16" s="8">
        <v>2.39184051535456</v>
      </c>
      <c r="AD16" s="8">
        <v>2.54306687132933</v>
      </c>
      <c r="AE16" s="8">
        <v>2.03524450391119</v>
      </c>
      <c r="AF16" s="8">
        <v>2.03384678561323</v>
      </c>
      <c r="AG16" s="8">
        <v>3.68871864901309</v>
      </c>
      <c r="AH16" s="8">
        <v>4.03020530029961</v>
      </c>
      <c r="AI16" s="8">
        <v>0.431880950727357</v>
      </c>
      <c r="AJ16" s="8">
        <v>0.705277730733539</v>
      </c>
      <c r="AK16" s="8">
        <v>1.64502326597074</v>
      </c>
      <c r="AL16" s="8">
        <v>0.339885813073836</v>
      </c>
      <c r="AM16" s="8">
        <v>0.439446241775584</v>
      </c>
      <c r="AN16" s="8">
        <v>0.0</v>
      </c>
      <c r="AO16" s="8">
        <v>0.0</v>
      </c>
      <c r="AP16" s="8">
        <v>91.8386418011833</v>
      </c>
      <c r="AQ16" s="8">
        <v>48.4145919121899</v>
      </c>
      <c r="AR16" s="8">
        <v>68.7777557052528</v>
      </c>
      <c r="AS16" s="8">
        <v>20.9441650853712</v>
      </c>
      <c r="AT16" s="8">
        <v>1.43784921309147</v>
      </c>
      <c r="AU16" s="8">
        <v>0.0</v>
      </c>
      <c r="AV16" s="8">
        <v>0.0</v>
      </c>
      <c r="AW16" s="8">
        <v>12.2384722979963</v>
      </c>
      <c r="AX16" s="8">
        <v>26.6291042555743</v>
      </c>
      <c r="AY16" s="8">
        <v>7.96299103398952</v>
      </c>
      <c r="AZ16" s="8">
        <v>0.0</v>
      </c>
      <c r="BA16" s="8">
        <v>0.0</v>
      </c>
      <c r="BB16" s="8">
        <v>-0.758977415623715</v>
      </c>
      <c r="BC16" s="8">
        <v>1.58402432462978</v>
      </c>
      <c r="BD16" s="8">
        <v>63.7448623750711</v>
      </c>
      <c r="BE16" s="8">
        <v>8.89008276377519</v>
      </c>
      <c r="BF16" s="8">
        <v>0.0</v>
      </c>
      <c r="BG16" s="8">
        <v>0.0</v>
      </c>
      <c r="BH16" s="8">
        <v>0.0</v>
      </c>
      <c r="BI16" s="8">
        <v>0.0</v>
      </c>
      <c r="BJ16" s="8">
        <v>0.0</v>
      </c>
      <c r="BK16" s="8">
        <v>0.0</v>
      </c>
      <c r="BL16" s="8">
        <v>0.0</v>
      </c>
      <c r="BM16" s="8">
        <v>0.0</v>
      </c>
      <c r="BN16" s="8">
        <v>0.0</v>
      </c>
      <c r="BO16" s="8">
        <v>0.0</v>
      </c>
      <c r="BP16" s="8">
        <v>0.0</v>
      </c>
      <c r="BQ16" s="8">
        <v>0.0</v>
      </c>
      <c r="BR16" s="8">
        <v>0.0</v>
      </c>
      <c r="BS16" s="8">
        <v>0.0</v>
      </c>
      <c r="BT16" s="8">
        <v>-0.0164605297925018</v>
      </c>
      <c r="BU16" s="8">
        <v>0.66746979511768</v>
      </c>
      <c r="BV16" s="8">
        <v>6.43584023261787</v>
      </c>
      <c r="BW16" s="8">
        <v>11.3906550959862</v>
      </c>
      <c r="BX16" s="8">
        <v>0.0</v>
      </c>
      <c r="BY16" s="8">
        <v>0.0</v>
      </c>
      <c r="BZ16" s="8">
        <v>0.0</v>
      </c>
      <c r="CA16" s="8">
        <v>-0.145635113364983</v>
      </c>
      <c r="CB16" s="8">
        <v>4.68369902711</v>
      </c>
      <c r="CC16" s="8">
        <v>0.0</v>
      </c>
      <c r="CD16" s="8">
        <v>0.0</v>
      </c>
      <c r="CE16" s="8">
        <v>0.0</v>
      </c>
      <c r="CF16" s="8">
        <v>0.0</v>
      </c>
      <c r="CG16" s="8">
        <v>0.0</v>
      </c>
      <c r="CH16" s="8">
        <v>0.0</v>
      </c>
      <c r="CI16" s="8">
        <v>0.96583831328081</v>
      </c>
      <c r="CJ16" s="8">
        <v>1.45822415284052</v>
      </c>
      <c r="CK16" s="8">
        <v>0.96583831328081</v>
      </c>
      <c r="CL16" s="8">
        <v>2.70974790198478</v>
      </c>
      <c r="CM16" s="8">
        <v>0.0</v>
      </c>
      <c r="CN16" s="8">
        <v>-0.806345193372479</v>
      </c>
      <c r="CO16" s="8">
        <v>-0.0556294327936731</v>
      </c>
      <c r="CP16" s="8">
        <v>0.106220594465198</v>
      </c>
      <c r="CQ16" s="8">
        <v>0.0</v>
      </c>
      <c r="CR16" s="8">
        <v>0.0</v>
      </c>
      <c r="CS16" s="8">
        <v>0.0</v>
      </c>
      <c r="CT16" s="8">
        <v>94.6389428402354</v>
      </c>
      <c r="CU16" s="8">
        <v>-242.033447672752</v>
      </c>
      <c r="CV16" s="8">
        <v>-234.43212102141</v>
      </c>
      <c r="CW16" s="8">
        <v>45.347769780396</v>
      </c>
      <c r="CX16" s="8">
        <v>0.96859390003972</v>
      </c>
      <c r="CY16" s="8">
        <v>0.479166064407015</v>
      </c>
      <c r="CZ16" s="8">
        <v>3.45100701123227</v>
      </c>
      <c r="DA16" s="8">
        <v>1.1143124697914</v>
      </c>
      <c r="DB16" s="8">
        <v>10.41573536</v>
      </c>
      <c r="DC16" s="8">
        <v>1.162</v>
      </c>
      <c r="DD16" s="8">
        <v>100.0</v>
      </c>
      <c r="DE16" s="8">
        <v>21.995</v>
      </c>
      <c r="DF16" s="8">
        <v>3.16645666666666</v>
      </c>
      <c r="DG16" s="8">
        <v>22.1775175097276</v>
      </c>
      <c r="DH16" s="5"/>
      <c r="DI16" s="5"/>
    </row>
    <row r="17">
      <c r="A17" s="5" t="s">
        <v>128</v>
      </c>
      <c r="B17" s="6">
        <v>0.0</v>
      </c>
      <c r="C17" s="6">
        <v>13.0</v>
      </c>
      <c r="D17" s="6">
        <v>380.908909636113</v>
      </c>
      <c r="E17" s="8">
        <v>147.914246423217</v>
      </c>
      <c r="F17" s="3">
        <f t="shared" si="2"/>
        <v>3.476834339</v>
      </c>
      <c r="G17" s="8">
        <v>1.35012155549049</v>
      </c>
      <c r="H17" s="8">
        <v>1.55592419122671</v>
      </c>
      <c r="I17" s="8">
        <v>0.605809228601394</v>
      </c>
      <c r="J17" s="8">
        <v>2.57520096168588</v>
      </c>
      <c r="K17" s="8">
        <v>63.0412490761733</v>
      </c>
      <c r="L17" s="8">
        <v>36.9587509238266</v>
      </c>
      <c r="M17" s="8">
        <v>3.46024537941756</v>
      </c>
      <c r="N17" s="9">
        <v>1.91988888548285E-5</v>
      </c>
      <c r="O17" s="8">
        <v>0.001266284088624</v>
      </c>
      <c r="P17" s="8">
        <v>1.3484483340307</v>
      </c>
      <c r="Q17" s="9">
        <v>5.46934235313677E-6</v>
      </c>
      <c r="R17" s="8">
        <v>0.0017343360177113</v>
      </c>
      <c r="S17" s="8">
        <v>63.0726751619057</v>
      </c>
      <c r="T17" s="8">
        <v>3.30873362748711E-4</v>
      </c>
      <c r="U17" s="8">
        <v>2.8839627798566E-4</v>
      </c>
      <c r="V17" s="8">
        <v>136.714673055791</v>
      </c>
      <c r="W17" s="8">
        <v>29.4788721186633</v>
      </c>
      <c r="X17" s="8">
        <v>106.160387457952</v>
      </c>
      <c r="Y17" s="8">
        <v>8.81723852696386</v>
      </c>
      <c r="Z17" s="8">
        <v>6.85026425084546</v>
      </c>
      <c r="AA17" s="8">
        <v>3.2444829011676</v>
      </c>
      <c r="AB17" s="8">
        <v>3.50014848052168</v>
      </c>
      <c r="AC17" s="8">
        <v>3.65730865492678</v>
      </c>
      <c r="AD17" s="8">
        <v>4.00343847121087</v>
      </c>
      <c r="AE17" s="8">
        <v>3.19214902679028</v>
      </c>
      <c r="AF17" s="8">
        <v>3.20410661065306</v>
      </c>
      <c r="AG17" s="8">
        <v>5.81541903316534</v>
      </c>
      <c r="AH17" s="8">
        <v>6.33957928599464</v>
      </c>
      <c r="AI17" s="8">
        <v>0.686278536223487</v>
      </c>
      <c r="AJ17" s="8">
        <v>1.1162936161232</v>
      </c>
      <c r="AK17" s="8">
        <v>2.56994466150967</v>
      </c>
      <c r="AL17" s="8">
        <v>0.535525702773393</v>
      </c>
      <c r="AM17" s="8">
        <v>0.685560924468619</v>
      </c>
      <c r="AN17" s="8">
        <v>0.0</v>
      </c>
      <c r="AO17" s="8">
        <v>0.0</v>
      </c>
      <c r="AP17" s="8">
        <v>144.518043328884</v>
      </c>
      <c r="AQ17" s="8">
        <v>75.704390371836</v>
      </c>
      <c r="AR17" s="8">
        <v>108.34249067421</v>
      </c>
      <c r="AS17" s="8">
        <v>32.7670521491145</v>
      </c>
      <c r="AT17" s="8">
        <v>2.27898077273289</v>
      </c>
      <c r="AU17" s="8">
        <v>0.0</v>
      </c>
      <c r="AV17" s="8">
        <v>0.0</v>
      </c>
      <c r="AW17" s="8">
        <v>19.0579920693718</v>
      </c>
      <c r="AX17" s="8">
        <v>41.6677166163384</v>
      </c>
      <c r="AY17" s="8">
        <v>12.5105264990328</v>
      </c>
      <c r="AZ17" s="8">
        <v>0.0</v>
      </c>
      <c r="BA17" s="8">
        <v>0.0</v>
      </c>
      <c r="BB17" s="8">
        <v>-1.14946103990675</v>
      </c>
      <c r="BC17" s="8">
        <v>2.46815518709289</v>
      </c>
      <c r="BD17" s="8">
        <v>100.609800037885</v>
      </c>
      <c r="BE17" s="8">
        <v>13.8762066880568</v>
      </c>
      <c r="BF17" s="8">
        <v>0.0</v>
      </c>
      <c r="BG17" s="8">
        <v>0.0</v>
      </c>
      <c r="BH17" s="8">
        <v>0.0</v>
      </c>
      <c r="BI17" s="8">
        <v>0.0</v>
      </c>
      <c r="BJ17" s="8">
        <v>0.0</v>
      </c>
      <c r="BK17" s="8">
        <v>0.0</v>
      </c>
      <c r="BL17" s="8">
        <v>0.0</v>
      </c>
      <c r="BM17" s="8">
        <v>0.0</v>
      </c>
      <c r="BN17" s="8">
        <v>0.0</v>
      </c>
      <c r="BO17" s="8">
        <v>0.0</v>
      </c>
      <c r="BP17" s="8">
        <v>0.0</v>
      </c>
      <c r="BQ17" s="8">
        <v>0.0</v>
      </c>
      <c r="BR17" s="8">
        <v>0.0</v>
      </c>
      <c r="BS17" s="8">
        <v>0.0</v>
      </c>
      <c r="BT17" s="8">
        <v>-0.027101857318402</v>
      </c>
      <c r="BU17" s="8">
        <v>0.997422291376837</v>
      </c>
      <c r="BV17" s="8">
        <v>9.67867327331251</v>
      </c>
      <c r="BW17" s="8">
        <v>18.0500995197283</v>
      </c>
      <c r="BX17" s="8">
        <v>0.0</v>
      </c>
      <c r="BY17" s="8">
        <v>0.0</v>
      </c>
      <c r="BZ17" s="8">
        <v>0.0</v>
      </c>
      <c r="CA17" s="8">
        <v>-0.136337681959277</v>
      </c>
      <c r="CB17" s="8">
        <v>7.24423202058705</v>
      </c>
      <c r="CC17" s="8">
        <v>0.0</v>
      </c>
      <c r="CD17" s="8">
        <v>0.0</v>
      </c>
      <c r="CE17" s="8">
        <v>0.0</v>
      </c>
      <c r="CF17" s="8">
        <v>0.0</v>
      </c>
      <c r="CG17" s="8">
        <v>0.0</v>
      </c>
      <c r="CH17" s="8">
        <v>0.0</v>
      </c>
      <c r="CI17" s="8">
        <v>1.37585835910726</v>
      </c>
      <c r="CJ17" s="8">
        <v>2.29553780912469</v>
      </c>
      <c r="CK17" s="8">
        <v>1.37585835910726</v>
      </c>
      <c r="CL17" s="8">
        <v>4.15040094738679</v>
      </c>
      <c r="CM17" s="8">
        <v>0.0</v>
      </c>
      <c r="CN17" s="8">
        <v>-1.34712155909777</v>
      </c>
      <c r="CO17" s="8">
        <v>-0.0633000388324789</v>
      </c>
      <c r="CP17" s="8">
        <v>0.132263330870598</v>
      </c>
      <c r="CQ17" s="8">
        <v>0.0</v>
      </c>
      <c r="CR17" s="8">
        <v>0.0</v>
      </c>
      <c r="CS17" s="8">
        <v>0.0</v>
      </c>
      <c r="CT17" s="8">
        <v>147.914246423217</v>
      </c>
      <c r="CU17" s="8">
        <v>-380.908909636113</v>
      </c>
      <c r="CV17" s="8">
        <v>-368.522719736485</v>
      </c>
      <c r="CW17" s="8">
        <v>70.9338770299355</v>
      </c>
      <c r="CX17" s="8">
        <v>0.967482540874508</v>
      </c>
      <c r="CY17" s="8">
        <v>0.479560818144432</v>
      </c>
      <c r="CZ17" s="8">
        <v>3.45100701123227</v>
      </c>
      <c r="DA17" s="8">
        <v>1.1143124697914</v>
      </c>
      <c r="DB17" s="8">
        <v>13.00849352</v>
      </c>
      <c r="DC17" s="8">
        <v>1.162</v>
      </c>
      <c r="DD17" s="8">
        <v>100.0</v>
      </c>
      <c r="DE17" s="8">
        <v>37.37</v>
      </c>
      <c r="DF17" s="8">
        <v>6.24341222222221</v>
      </c>
      <c r="DG17" s="8">
        <v>22.4762839999999</v>
      </c>
      <c r="DH17" s="5"/>
      <c r="DI17" s="5"/>
    </row>
    <row r="18">
      <c r="A18" s="5" t="s">
        <v>130</v>
      </c>
      <c r="B18" s="6">
        <v>0.0</v>
      </c>
      <c r="C18" s="6">
        <v>18.0</v>
      </c>
      <c r="D18" s="6">
        <v>742.289754930264</v>
      </c>
      <c r="E18" s="8">
        <v>286.096586197103</v>
      </c>
      <c r="F18" s="3">
        <f t="shared" si="2"/>
        <v>3.497939272</v>
      </c>
      <c r="G18" s="8">
        <v>1.34819114244569</v>
      </c>
      <c r="H18" s="8">
        <v>1.5653687952213</v>
      </c>
      <c r="I18" s="8">
        <v>0.604943038418151</v>
      </c>
      <c r="J18" s="8">
        <v>2.59454251026564</v>
      </c>
      <c r="K18" s="8">
        <v>63.2749779557331</v>
      </c>
      <c r="L18" s="8">
        <v>36.7250220442668</v>
      </c>
      <c r="M18" s="8">
        <v>3.48685744868928</v>
      </c>
      <c r="N18" s="9">
        <v>2.8670149952316E-6</v>
      </c>
      <c r="O18" s="8">
        <v>4.85602360873912E-4</v>
      </c>
      <c r="P18" s="8">
        <v>1.34879275977179</v>
      </c>
      <c r="Q18" s="9">
        <v>3.52781217075408E-7</v>
      </c>
      <c r="R18" s="8">
        <v>4.40359632963566E-4</v>
      </c>
      <c r="S18" s="8">
        <v>63.2547343859453</v>
      </c>
      <c r="T18" s="8">
        <v>0.001146064181098</v>
      </c>
      <c r="U18" s="8">
        <v>5.35194243145513E-4</v>
      </c>
      <c r="V18" s="8">
        <v>267.481031186145</v>
      </c>
      <c r="W18" s="8">
        <v>57.4606584162173</v>
      </c>
      <c r="X18" s="8">
        <v>207.73205778926</v>
      </c>
      <c r="Y18" s="8">
        <v>17.2686061020937</v>
      </c>
      <c r="Z18" s="8">
        <v>13.2895792763911</v>
      </c>
      <c r="AA18" s="8">
        <v>6.40062949050058</v>
      </c>
      <c r="AB18" s="8">
        <v>6.85354057603396</v>
      </c>
      <c r="AC18" s="8">
        <v>6.88492066469076</v>
      </c>
      <c r="AD18" s="8">
        <v>7.85429569905097</v>
      </c>
      <c r="AE18" s="8">
        <v>6.20200121633548</v>
      </c>
      <c r="AF18" s="8">
        <v>6.3017639379293</v>
      </c>
      <c r="AG18" s="8">
        <v>11.4250393544646</v>
      </c>
      <c r="AH18" s="8">
        <v>12.3680955262204</v>
      </c>
      <c r="AI18" s="8">
        <v>1.36618977329163</v>
      </c>
      <c r="AJ18" s="8">
        <v>2.20233265235353</v>
      </c>
      <c r="AK18" s="8">
        <v>4.97771401889761</v>
      </c>
      <c r="AL18" s="8">
        <v>1.05815808376279</v>
      </c>
      <c r="AM18" s="8">
        <v>1.33172608662108</v>
      </c>
      <c r="AN18" s="8">
        <v>0.0</v>
      </c>
      <c r="AO18" s="8">
        <v>0.0</v>
      </c>
      <c r="AP18" s="8">
        <v>281.901466992747</v>
      </c>
      <c r="AQ18" s="8">
        <v>147.358903155701</v>
      </c>
      <c r="AR18" s="8">
        <v>211.247508871548</v>
      </c>
      <c r="AS18" s="8">
        <v>63.7630602975952</v>
      </c>
      <c r="AT18" s="8">
        <v>4.52124624264625</v>
      </c>
      <c r="AU18" s="8">
        <v>0.0</v>
      </c>
      <c r="AV18" s="8">
        <v>0.0</v>
      </c>
      <c r="AW18" s="8">
        <v>36.7874629692658</v>
      </c>
      <c r="AX18" s="8">
        <v>81.1909767738315</v>
      </c>
      <c r="AY18" s="8">
        <v>24.5819420509264</v>
      </c>
      <c r="AZ18" s="8">
        <v>0.0</v>
      </c>
      <c r="BA18" s="8">
        <v>0.0</v>
      </c>
      <c r="BB18" s="8">
        <v>-2.15159466168804</v>
      </c>
      <c r="BC18" s="8">
        <v>4.79852136167765</v>
      </c>
      <c r="BD18" s="8">
        <v>195.910167781681</v>
      </c>
      <c r="BE18" s="8">
        <v>26.6800390428607</v>
      </c>
      <c r="BF18" s="8">
        <v>0.0</v>
      </c>
      <c r="BG18" s="8">
        <v>0.0</v>
      </c>
      <c r="BH18" s="8">
        <v>0.0</v>
      </c>
      <c r="BI18" s="8">
        <v>0.0</v>
      </c>
      <c r="BJ18" s="8">
        <v>0.0</v>
      </c>
      <c r="BK18" s="8">
        <v>0.0</v>
      </c>
      <c r="BL18" s="8">
        <v>0.0</v>
      </c>
      <c r="BM18" s="8">
        <v>0.0</v>
      </c>
      <c r="BN18" s="8">
        <v>0.0</v>
      </c>
      <c r="BO18" s="8">
        <v>0.0</v>
      </c>
      <c r="BP18" s="8">
        <v>0.0</v>
      </c>
      <c r="BQ18" s="8">
        <v>0.0</v>
      </c>
      <c r="BR18" s="8">
        <v>0.0</v>
      </c>
      <c r="BS18" s="8">
        <v>0.0</v>
      </c>
      <c r="BT18" s="8">
        <v>-0.0500501095335507</v>
      </c>
      <c r="BU18" s="8">
        <v>1.76537622760686</v>
      </c>
      <c r="BV18" s="8">
        <v>17.3605895808002</v>
      </c>
      <c r="BW18" s="8">
        <v>34.7089223906011</v>
      </c>
      <c r="BX18" s="8">
        <v>0.0</v>
      </c>
      <c r="BY18" s="8">
        <v>0.0</v>
      </c>
      <c r="BZ18" s="8">
        <v>0.0</v>
      </c>
      <c r="CA18" s="8">
        <v>-0.0507745944037792</v>
      </c>
      <c r="CB18" s="8">
        <v>13.6668605514445</v>
      </c>
      <c r="CC18" s="8">
        <v>0.0</v>
      </c>
      <c r="CD18" s="8">
        <v>0.0</v>
      </c>
      <c r="CE18" s="8">
        <v>0.0</v>
      </c>
      <c r="CF18" s="8">
        <v>0.0</v>
      </c>
      <c r="CG18" s="8">
        <v>0.0</v>
      </c>
      <c r="CH18" s="8">
        <v>0.0</v>
      </c>
      <c r="CI18" s="8">
        <v>2.5544764542818</v>
      </c>
      <c r="CJ18" s="8">
        <v>4.43376241661433</v>
      </c>
      <c r="CK18" s="8">
        <v>2.5544764542818</v>
      </c>
      <c r="CL18" s="8">
        <v>7.75974615362868</v>
      </c>
      <c r="CM18" s="8">
        <v>0.0</v>
      </c>
      <c r="CN18" s="8">
        <v>-2.68633209289973</v>
      </c>
      <c r="CO18" s="8">
        <v>-0.0557471755045304</v>
      </c>
      <c r="CP18" s="8">
        <v>0.182245883939054</v>
      </c>
      <c r="CQ18" s="8">
        <v>0.0</v>
      </c>
      <c r="CR18" s="8">
        <v>0.0</v>
      </c>
      <c r="CS18" s="8">
        <v>0.0</v>
      </c>
      <c r="CT18" s="8">
        <v>286.096586197103</v>
      </c>
      <c r="CU18" s="8">
        <v>-742.289754930264</v>
      </c>
      <c r="CV18" s="8">
        <v>-714.779159905935</v>
      </c>
      <c r="CW18" s="8">
        <v>138.032018119159</v>
      </c>
      <c r="CX18" s="8">
        <v>0.962938199211824</v>
      </c>
      <c r="CY18" s="8">
        <v>0.482466498303702</v>
      </c>
      <c r="CZ18" s="8">
        <v>3.45100701123227</v>
      </c>
      <c r="DA18" s="8">
        <v>1.1143124697914</v>
      </c>
      <c r="DB18" s="8">
        <v>18.10460438</v>
      </c>
      <c r="DC18" s="8">
        <v>1.162</v>
      </c>
      <c r="DD18" s="8">
        <v>100.0</v>
      </c>
      <c r="DE18" s="8">
        <v>72.54</v>
      </c>
      <c r="DF18" s="8">
        <v>7.12640388888889</v>
      </c>
      <c r="DG18" s="8">
        <v>63.9776907730673</v>
      </c>
      <c r="DH18" s="5"/>
      <c r="DI18" s="5"/>
    </row>
    <row r="19">
      <c r="A19" s="5" t="s">
        <v>132</v>
      </c>
      <c r="B19" s="6">
        <v>0.0</v>
      </c>
      <c r="C19" s="6">
        <v>20.0</v>
      </c>
      <c r="D19" s="6">
        <v>967.953000854187</v>
      </c>
      <c r="E19" s="8">
        <v>372.381063128514</v>
      </c>
      <c r="F19" s="3">
        <f t="shared" si="2"/>
        <v>3.490126222</v>
      </c>
      <c r="G19" s="8">
        <v>1.34268600044621</v>
      </c>
      <c r="H19" s="8">
        <v>1.56187239380871</v>
      </c>
      <c r="I19" s="8">
        <v>0.602472841705502</v>
      </c>
      <c r="J19" s="8">
        <v>2.59936150544833</v>
      </c>
      <c r="K19" s="8">
        <v>63.334096494907</v>
      </c>
      <c r="L19" s="8">
        <v>36.6659035050929</v>
      </c>
      <c r="M19" s="8">
        <v>3.47950990171902</v>
      </c>
      <c r="N19" s="9">
        <v>1.4796122275579E-5</v>
      </c>
      <c r="O19" s="8">
        <v>0.001105492700045</v>
      </c>
      <c r="P19" s="8">
        <v>1.34373835957041</v>
      </c>
      <c r="Q19" s="9">
        <v>1.24951821586532E-6</v>
      </c>
      <c r="R19" s="8">
        <v>8.31872142079091E-4</v>
      </c>
      <c r="S19" s="8">
        <v>63.294769447242</v>
      </c>
      <c r="T19" s="8">
        <v>5.72451602566212E-4</v>
      </c>
      <c r="U19" s="8">
        <v>3.78008499886014E-4</v>
      </c>
      <c r="V19" s="8">
        <v>349.920998707692</v>
      </c>
      <c r="W19" s="8">
        <v>75.0036995133481</v>
      </c>
      <c r="X19" s="8">
        <v>271.840729281551</v>
      </c>
      <c r="Y19" s="8">
        <v>22.591616834638</v>
      </c>
      <c r="Z19" s="8">
        <v>17.2693299377488</v>
      </c>
      <c r="AA19" s="8">
        <v>8.38950963791802</v>
      </c>
      <c r="AB19" s="8">
        <v>8.9546805633147</v>
      </c>
      <c r="AC19" s="8">
        <v>8.86269217670811</v>
      </c>
      <c r="AD19" s="8">
        <v>10.2838232576929</v>
      </c>
      <c r="AE19" s="8">
        <v>8.06042095332246</v>
      </c>
      <c r="AF19" s="8">
        <v>8.25471553657194</v>
      </c>
      <c r="AG19" s="8">
        <v>14.9613558234795</v>
      </c>
      <c r="AH19" s="8">
        <v>16.1895885521388</v>
      </c>
      <c r="AI19" s="8">
        <v>1.79985788567938</v>
      </c>
      <c r="AJ19" s="8">
        <v>2.88568601470244</v>
      </c>
      <c r="AK19" s="8">
        <v>6.49259212915634</v>
      </c>
      <c r="AL19" s="8">
        <v>1.39082075710221</v>
      </c>
      <c r="AM19" s="8">
        <v>1.73592305583491</v>
      </c>
      <c r="AN19" s="8">
        <v>0.0</v>
      </c>
      <c r="AO19" s="8">
        <v>0.0</v>
      </c>
      <c r="AP19" s="8">
        <v>369.188023227867</v>
      </c>
      <c r="AQ19" s="8">
        <v>190.618358178394</v>
      </c>
      <c r="AR19" s="8">
        <v>277.476103617755</v>
      </c>
      <c r="AS19" s="8">
        <v>82.706533889124</v>
      </c>
      <c r="AT19" s="8">
        <v>5.91360825836281</v>
      </c>
      <c r="AU19" s="8">
        <v>0.0</v>
      </c>
      <c r="AV19" s="8">
        <v>0.0</v>
      </c>
      <c r="AW19" s="8">
        <v>46.8390760448826</v>
      </c>
      <c r="AX19" s="8">
        <v>105.307100258544</v>
      </c>
      <c r="AY19" s="8">
        <v>32.320657750444</v>
      </c>
      <c r="AZ19" s="8">
        <v>0.0</v>
      </c>
      <c r="BA19" s="8">
        <v>0.0</v>
      </c>
      <c r="BB19" s="8">
        <v>-2.82183079573786</v>
      </c>
      <c r="BC19" s="8">
        <v>6.15152412452358</v>
      </c>
      <c r="BD19" s="8">
        <v>256.28078032724</v>
      </c>
      <c r="BE19" s="8">
        <v>34.5281869596538</v>
      </c>
      <c r="BF19" s="8">
        <v>0.0</v>
      </c>
      <c r="BG19" s="8">
        <v>0.0</v>
      </c>
      <c r="BH19" s="8">
        <v>0.0</v>
      </c>
      <c r="BI19" s="8">
        <v>0.0</v>
      </c>
      <c r="BJ19" s="8">
        <v>0.0</v>
      </c>
      <c r="BK19" s="8">
        <v>0.0</v>
      </c>
      <c r="BL19" s="8">
        <v>0.0</v>
      </c>
      <c r="BM19" s="8">
        <v>0.0</v>
      </c>
      <c r="BN19" s="8">
        <v>0.0</v>
      </c>
      <c r="BO19" s="8">
        <v>0.0</v>
      </c>
      <c r="BP19" s="8">
        <v>0.0</v>
      </c>
      <c r="BQ19" s="8">
        <v>0.0</v>
      </c>
      <c r="BR19" s="8">
        <v>0.0</v>
      </c>
      <c r="BS19" s="8">
        <v>0.0</v>
      </c>
      <c r="BT19" s="8">
        <v>-0.0841163781762148</v>
      </c>
      <c r="BU19" s="8">
        <v>2.29684960643464</v>
      </c>
      <c r="BV19" s="8">
        <v>19.1488525596624</v>
      </c>
      <c r="BW19" s="8">
        <v>45.4164806101514</v>
      </c>
      <c r="BX19" s="8">
        <v>0.0</v>
      </c>
      <c r="BY19" s="8">
        <v>0.0</v>
      </c>
      <c r="BZ19" s="8">
        <v>0.0</v>
      </c>
      <c r="CA19" s="8">
        <v>0.0208171935263515</v>
      </c>
      <c r="CB19" s="8">
        <v>18.4563089678408</v>
      </c>
      <c r="CC19" s="8">
        <v>0.0</v>
      </c>
      <c r="CD19" s="8">
        <v>0.0</v>
      </c>
      <c r="CE19" s="8">
        <v>0.0</v>
      </c>
      <c r="CF19" s="8">
        <v>0.0</v>
      </c>
      <c r="CG19" s="8">
        <v>0.0</v>
      </c>
      <c r="CH19" s="8">
        <v>0.0</v>
      </c>
      <c r="CI19" s="8">
        <v>3.19498853069861</v>
      </c>
      <c r="CJ19" s="8">
        <v>6.01412135734815</v>
      </c>
      <c r="CK19" s="8">
        <v>3.19498853069861</v>
      </c>
      <c r="CL19" s="8">
        <v>10.3500693041175</v>
      </c>
      <c r="CM19" s="8">
        <v>0.0</v>
      </c>
      <c r="CN19" s="8">
        <v>-3.04231835359676</v>
      </c>
      <c r="CO19" s="8">
        <v>0.0271136446942454</v>
      </c>
      <c r="CP19" s="8">
        <v>0.205441479945336</v>
      </c>
      <c r="CQ19" s="8">
        <v>0.0</v>
      </c>
      <c r="CR19" s="8">
        <v>0.0</v>
      </c>
      <c r="CS19" s="8">
        <v>0.0</v>
      </c>
      <c r="CT19" s="8">
        <v>372.381063128514</v>
      </c>
      <c r="CU19" s="8">
        <v>-967.953000854187</v>
      </c>
      <c r="CV19" s="8">
        <v>-930.966325948706</v>
      </c>
      <c r="CW19" s="8">
        <v>179.49514178403</v>
      </c>
      <c r="CX19" s="8">
        <v>0.96178876983403</v>
      </c>
      <c r="CY19" s="8">
        <v>0.482020058367157</v>
      </c>
      <c r="CZ19" s="8">
        <v>3.45100701123227</v>
      </c>
      <c r="DA19" s="8">
        <v>1.1143124697914</v>
      </c>
      <c r="DB19" s="8">
        <v>20.69736254</v>
      </c>
      <c r="DC19" s="8">
        <v>1.162</v>
      </c>
      <c r="DD19" s="8">
        <v>100.0</v>
      </c>
      <c r="DE19" s="8">
        <v>40.878</v>
      </c>
      <c r="DF19" s="8">
        <v>9.62194749999998</v>
      </c>
      <c r="DG19" s="8">
        <v>56.7852639344261</v>
      </c>
      <c r="DH19" s="5"/>
      <c r="DI19" s="5"/>
    </row>
    <row r="21">
      <c r="A21" s="14" t="s">
        <v>117</v>
      </c>
      <c r="B21" s="14">
        <v>-2.0</v>
      </c>
      <c r="C21" s="14">
        <v>10.0</v>
      </c>
      <c r="D21" s="14">
        <v>239.44479014711</v>
      </c>
      <c r="E21" s="14">
        <v>93.2048649556719</v>
      </c>
      <c r="F21" s="3">
        <f t="shared" ref="F21:F23" si="3">D21/(0.5*DC21*DA21*(DB21^2))</f>
        <v>3.410929396</v>
      </c>
      <c r="G21" s="14">
        <v>1.32771825068467</v>
      </c>
      <c r="H21" s="14">
        <v>1.52643085239443</v>
      </c>
      <c r="I21" s="14">
        <v>0.596072757296949</v>
      </c>
      <c r="J21" s="14">
        <v>2.56901600856338</v>
      </c>
      <c r="K21" s="14">
        <v>63.4140314124158</v>
      </c>
      <c r="L21" s="14">
        <v>36.5859685875841</v>
      </c>
      <c r="M21" s="14">
        <v>3.40237856243053</v>
      </c>
      <c r="N21" s="15">
        <v>2.0304961252881E-5</v>
      </c>
      <c r="O21" s="14">
        <v>0.0013243977955807</v>
      </c>
      <c r="P21" s="14">
        <v>1.32925047890941</v>
      </c>
      <c r="Q21" s="15">
        <v>8.11682759217976E-6</v>
      </c>
      <c r="R21" s="14">
        <v>0.0021433166375579</v>
      </c>
      <c r="S21" s="14">
        <v>63.4054971076272</v>
      </c>
      <c r="T21" s="14">
        <v>0.0049327329482171</v>
      </c>
      <c r="U21" s="14">
        <v>0.0011076865698872</v>
      </c>
      <c r="V21" s="14">
        <v>87.1456554939996</v>
      </c>
      <c r="W21" s="14">
        <v>18.9798956369322</v>
      </c>
      <c r="X21" s="14">
        <v>67.7834839531517</v>
      </c>
      <c r="Y21" s="14">
        <v>5.58726199438106</v>
      </c>
      <c r="Z21" s="14">
        <v>4.33289753565643</v>
      </c>
      <c r="AA21" s="14">
        <v>2.03667905444212</v>
      </c>
      <c r="AB21" s="14">
        <v>2.22376655078011</v>
      </c>
      <c r="AC21" s="14">
        <v>2.64114555675972</v>
      </c>
      <c r="AD21" s="14">
        <v>2.53291426942156</v>
      </c>
      <c r="AE21" s="14">
        <v>2.02642720654752</v>
      </c>
      <c r="AF21" s="14">
        <v>2.01904414836519</v>
      </c>
      <c r="AG21" s="14">
        <v>3.69187046943222</v>
      </c>
      <c r="AH21" s="14">
        <v>4.04197476713959</v>
      </c>
      <c r="AI21" s="14">
        <v>0.433430219072785</v>
      </c>
      <c r="AJ21" s="14">
        <v>0.706161419375809</v>
      </c>
      <c r="AK21" s="14">
        <v>1.61812688433942</v>
      </c>
      <c r="AL21" s="14">
        <v>0.328342572958938</v>
      </c>
      <c r="AM21" s="14">
        <v>0.43015405967539</v>
      </c>
      <c r="AN21" s="14">
        <v>0.0</v>
      </c>
      <c r="AO21" s="14">
        <v>0.0</v>
      </c>
      <c r="AP21" s="14">
        <v>90.6510775876108</v>
      </c>
      <c r="AQ21" s="14">
        <v>47.2195602821343</v>
      </c>
      <c r="AR21" s="14">
        <v>68.0262633347578</v>
      </c>
      <c r="AS21" s="14">
        <v>20.4948547397414</v>
      </c>
      <c r="AT21" s="14">
        <v>1.45645905106979</v>
      </c>
      <c r="AU21" s="14">
        <v>0.0</v>
      </c>
      <c r="AV21" s="14">
        <v>0.0</v>
      </c>
      <c r="AW21" s="14">
        <v>11.8175311655634</v>
      </c>
      <c r="AX21" s="14">
        <v>25.9765361105004</v>
      </c>
      <c r="AY21" s="14">
        <v>8.03141046120394</v>
      </c>
      <c r="AZ21" s="14">
        <v>0.0</v>
      </c>
      <c r="BA21" s="14">
        <v>0.0</v>
      </c>
      <c r="BB21" s="14">
        <v>-0.782958589027956</v>
      </c>
      <c r="BC21" s="14">
        <v>1.39408254486649</v>
      </c>
      <c r="BD21" s="14">
        <v>62.4599501049469</v>
      </c>
      <c r="BE21" s="14">
        <v>8.74092975016606</v>
      </c>
      <c r="BF21" s="14">
        <v>0.0</v>
      </c>
      <c r="BG21" s="14">
        <v>0.0</v>
      </c>
      <c r="BH21" s="14">
        <v>0.0</v>
      </c>
      <c r="BI21" s="14">
        <v>0.0</v>
      </c>
      <c r="BJ21" s="14">
        <v>0.0</v>
      </c>
      <c r="BK21" s="14">
        <v>0.0</v>
      </c>
      <c r="BL21" s="14">
        <v>0.0</v>
      </c>
      <c r="BM21" s="14">
        <v>0.0</v>
      </c>
      <c r="BN21" s="14">
        <v>0.0</v>
      </c>
      <c r="BO21" s="14">
        <v>0.0</v>
      </c>
      <c r="BP21" s="14">
        <v>0.0</v>
      </c>
      <c r="BQ21" s="14">
        <v>0.0</v>
      </c>
      <c r="BR21" s="14">
        <v>0.0</v>
      </c>
      <c r="BS21" s="14">
        <v>0.0</v>
      </c>
      <c r="BT21" s="14">
        <v>-0.0352804027733699</v>
      </c>
      <c r="BU21" s="14">
        <v>0.655228027943554</v>
      </c>
      <c r="BV21" s="14">
        <v>6.00231640702778</v>
      </c>
      <c r="BW21" s="14">
        <v>10.9958077953915</v>
      </c>
      <c r="BX21" s="14">
        <v>0.0</v>
      </c>
      <c r="BY21" s="14">
        <v>0.0</v>
      </c>
      <c r="BZ21" s="14">
        <v>0.0</v>
      </c>
      <c r="CA21" s="14">
        <v>-0.140084545874752</v>
      </c>
      <c r="CB21" s="14">
        <v>4.64827349779033</v>
      </c>
      <c r="CC21" s="14">
        <v>0.0</v>
      </c>
      <c r="CD21" s="14">
        <v>0.0</v>
      </c>
      <c r="CE21" s="14">
        <v>0.0</v>
      </c>
      <c r="CF21" s="14">
        <v>0.0</v>
      </c>
      <c r="CG21" s="14">
        <v>0.0</v>
      </c>
      <c r="CH21" s="14">
        <v>0.0</v>
      </c>
      <c r="CI21" s="14">
        <v>0.957922201045591</v>
      </c>
      <c r="CJ21" s="14">
        <v>1.68163685979736</v>
      </c>
      <c r="CK21" s="14">
        <v>0.957922201045591</v>
      </c>
      <c r="CL21" s="14">
        <v>2.67634583087173</v>
      </c>
      <c r="CM21" s="14">
        <v>0.0</v>
      </c>
      <c r="CN21" s="14">
        <v>-0.653421001587356</v>
      </c>
      <c r="CO21" s="14">
        <v>-0.0698809561142404</v>
      </c>
      <c r="CP21" s="14">
        <v>0.107779139109775</v>
      </c>
      <c r="CQ21" s="14">
        <v>0.0</v>
      </c>
      <c r="CR21" s="14">
        <v>0.0</v>
      </c>
      <c r="CS21" s="14">
        <v>0.0</v>
      </c>
      <c r="CT21" s="14">
        <v>93.2048649556719</v>
      </c>
      <c r="CU21" s="14">
        <v>-239.44479014711</v>
      </c>
      <c r="CV21" s="14">
        <v>-229.92308121942</v>
      </c>
      <c r="CW21" s="14">
        <v>44.3639633287419</v>
      </c>
      <c r="CX21" s="14">
        <v>0.960234219663583</v>
      </c>
      <c r="CY21" s="14">
        <v>0.475983344322652</v>
      </c>
      <c r="CZ21" s="14">
        <v>3.45165896522546</v>
      </c>
      <c r="DA21" s="14">
        <v>1.11372163417228</v>
      </c>
      <c r="DB21" s="14">
        <v>10.41573536</v>
      </c>
      <c r="DC21" s="14">
        <v>1.162</v>
      </c>
      <c r="DD21" s="14">
        <v>100.0</v>
      </c>
      <c r="DE21" s="14">
        <v>472.563</v>
      </c>
      <c r="DF21" s="14">
        <v>107.933936666666</v>
      </c>
      <c r="DG21" s="14">
        <v>485.702714999999</v>
      </c>
      <c r="DH21" s="16"/>
      <c r="DI21" s="16"/>
    </row>
    <row r="22">
      <c r="A22" s="14" t="s">
        <v>127</v>
      </c>
      <c r="B22" s="14">
        <v>-4.0</v>
      </c>
      <c r="C22" s="14">
        <v>10.0</v>
      </c>
      <c r="D22" s="14">
        <v>235.033865623297</v>
      </c>
      <c r="E22" s="14">
        <v>91.6505686873178</v>
      </c>
      <c r="F22" s="3">
        <f t="shared" si="3"/>
        <v>3.346445034</v>
      </c>
      <c r="G22" s="14">
        <v>1.30493360133231</v>
      </c>
      <c r="H22" s="14">
        <v>1.49757334521932</v>
      </c>
      <c r="I22" s="14">
        <v>0.585554977712853</v>
      </c>
      <c r="J22" s="14">
        <v>2.56445616202511</v>
      </c>
      <c r="K22" s="14">
        <v>63.7857161481022</v>
      </c>
      <c r="L22" s="14">
        <v>36.2142838518977</v>
      </c>
      <c r="M22" s="14">
        <v>3.33603926303754</v>
      </c>
      <c r="N22" s="15">
        <v>1.30988352260027E-6</v>
      </c>
      <c r="O22" s="14">
        <v>3.4307193035385E-4</v>
      </c>
      <c r="P22" s="14">
        <v>1.3045980455985</v>
      </c>
      <c r="Q22" s="15">
        <v>1.43412680101767E-8</v>
      </c>
      <c r="R22" s="15">
        <v>9.17945828170344E-5</v>
      </c>
      <c r="S22" s="14">
        <v>63.7771737185601</v>
      </c>
      <c r="T22" s="15">
        <v>5.90261818632375E-5</v>
      </c>
      <c r="U22" s="14">
        <v>1.20463943524222E-4</v>
      </c>
      <c r="V22" s="14">
        <v>86.3483609336589</v>
      </c>
      <c r="W22" s="14">
        <v>18.8335127458336</v>
      </c>
      <c r="X22" s="14">
        <v>67.1638946836873</v>
      </c>
      <c r="Y22" s="14">
        <v>5.54812314488495</v>
      </c>
      <c r="Z22" s="14">
        <v>4.27047038377754</v>
      </c>
      <c r="AA22" s="14">
        <v>2.049897298926</v>
      </c>
      <c r="AB22" s="14">
        <v>2.16706872363978</v>
      </c>
      <c r="AC22" s="14">
        <v>2.64126706524528</v>
      </c>
      <c r="AD22" s="14">
        <v>2.4938514947287</v>
      </c>
      <c r="AE22" s="14">
        <v>1.99144036788228</v>
      </c>
      <c r="AF22" s="14">
        <v>2.02259218361538</v>
      </c>
      <c r="AG22" s="14">
        <v>3.63281875471567</v>
      </c>
      <c r="AH22" s="14">
        <v>3.9837508391736</v>
      </c>
      <c r="AI22" s="14">
        <v>0.43602397181317</v>
      </c>
      <c r="AJ22" s="14">
        <v>0.72913188775657</v>
      </c>
      <c r="AK22" s="14">
        <v>1.624021994273</v>
      </c>
      <c r="AL22" s="14">
        <v>0.337066022279733</v>
      </c>
      <c r="AM22" s="14">
        <v>0.457636108377943</v>
      </c>
      <c r="AN22" s="14">
        <v>0.0</v>
      </c>
      <c r="AO22" s="14">
        <v>0.0</v>
      </c>
      <c r="AP22" s="14">
        <v>88.5014238526488</v>
      </c>
      <c r="AQ22" s="14">
        <v>45.8876870441997</v>
      </c>
      <c r="AR22" s="14">
        <v>66.6921560492895</v>
      </c>
      <c r="AS22" s="14">
        <v>19.807232075086</v>
      </c>
      <c r="AT22" s="14">
        <v>1.40154388887993</v>
      </c>
      <c r="AU22" s="14">
        <v>0.0</v>
      </c>
      <c r="AV22" s="14">
        <v>0.0</v>
      </c>
      <c r="AW22" s="14">
        <v>11.5321489161026</v>
      </c>
      <c r="AX22" s="14">
        <v>25.1757849763395</v>
      </c>
      <c r="AY22" s="14">
        <v>7.86880463700847</v>
      </c>
      <c r="AZ22" s="14">
        <v>0.0</v>
      </c>
      <c r="BA22" s="14">
        <v>0.0</v>
      </c>
      <c r="BB22" s="14">
        <v>-0.801052049486487</v>
      </c>
      <c r="BC22" s="14">
        <v>1.31094851474911</v>
      </c>
      <c r="BD22" s="14">
        <v>61.1501217996371</v>
      </c>
      <c r="BE22" s="14">
        <v>8.37463463820456</v>
      </c>
      <c r="BF22" s="14">
        <v>0.0</v>
      </c>
      <c r="BG22" s="14">
        <v>0.0</v>
      </c>
      <c r="BH22" s="14">
        <v>0.0</v>
      </c>
      <c r="BI22" s="14">
        <v>0.0</v>
      </c>
      <c r="BJ22" s="14">
        <v>0.0</v>
      </c>
      <c r="BK22" s="14">
        <v>0.0</v>
      </c>
      <c r="BL22" s="14">
        <v>0.0</v>
      </c>
      <c r="BM22" s="14">
        <v>0.0</v>
      </c>
      <c r="BN22" s="14">
        <v>0.0</v>
      </c>
      <c r="BO22" s="14">
        <v>0.0</v>
      </c>
      <c r="BP22" s="14">
        <v>0.0</v>
      </c>
      <c r="BQ22" s="14">
        <v>0.0</v>
      </c>
      <c r="BR22" s="14">
        <v>0.0</v>
      </c>
      <c r="BS22" s="14">
        <v>0.0</v>
      </c>
      <c r="BT22" s="14">
        <v>-0.0058995500232295</v>
      </c>
      <c r="BU22" s="14">
        <v>0.623134515403397</v>
      </c>
      <c r="BV22" s="14">
        <v>6.05797681398637</v>
      </c>
      <c r="BW22" s="14">
        <v>10.997760646307</v>
      </c>
      <c r="BX22" s="14">
        <v>0.0</v>
      </c>
      <c r="BY22" s="14">
        <v>0.0</v>
      </c>
      <c r="BZ22" s="14">
        <v>0.0</v>
      </c>
      <c r="CA22" s="14">
        <v>-0.193688789908695</v>
      </c>
      <c r="CB22" s="14">
        <v>4.59264934481596</v>
      </c>
      <c r="CC22" s="14">
        <v>0.0</v>
      </c>
      <c r="CD22" s="14">
        <v>0.0</v>
      </c>
      <c r="CE22" s="14">
        <v>0.0</v>
      </c>
      <c r="CF22" s="14">
        <v>0.0</v>
      </c>
      <c r="CG22" s="14">
        <v>0.0</v>
      </c>
      <c r="CH22" s="14">
        <v>0.0</v>
      </c>
      <c r="CI22" s="14">
        <v>1.04855714516231</v>
      </c>
      <c r="CJ22" s="14">
        <v>1.98619134927809</v>
      </c>
      <c r="CK22" s="14">
        <v>1.04855714516231</v>
      </c>
      <c r="CL22" s="14">
        <v>2.60476160825977</v>
      </c>
      <c r="CM22" s="14">
        <v>0.0</v>
      </c>
      <c r="CN22" s="14">
        <v>-0.36458363282622</v>
      </c>
      <c r="CO22" s="14">
        <v>-0.0811059488760908</v>
      </c>
      <c r="CP22" s="14">
        <v>0.110932370646559</v>
      </c>
      <c r="CQ22" s="14">
        <v>0.0</v>
      </c>
      <c r="CR22" s="14">
        <v>0.0</v>
      </c>
      <c r="CS22" s="14">
        <v>0.0</v>
      </c>
      <c r="CT22" s="14">
        <v>91.6505686873178</v>
      </c>
      <c r="CU22" s="14">
        <v>-235.033865623297</v>
      </c>
      <c r="CV22" s="14">
        <v>-223.9890618337</v>
      </c>
      <c r="CW22" s="14">
        <v>43.2291434191977</v>
      </c>
      <c r="CX22" s="14">
        <v>0.953007606966311</v>
      </c>
      <c r="CY22" s="14">
        <v>0.471673488101112</v>
      </c>
      <c r="CZ22" s="14">
        <v>3.45165548954137</v>
      </c>
      <c r="DA22" s="14">
        <v>1.11427077815077</v>
      </c>
      <c r="DB22" s="14">
        <v>10.41573536</v>
      </c>
      <c r="DC22" s="14">
        <v>1.162</v>
      </c>
      <c r="DD22" s="14">
        <v>100.0</v>
      </c>
      <c r="DE22" s="14">
        <v>25.32</v>
      </c>
      <c r="DF22" s="14">
        <v>4.16485833333333</v>
      </c>
      <c r="DG22" s="14">
        <v>25.1568624161074</v>
      </c>
      <c r="DH22" s="16"/>
      <c r="DI22" s="16"/>
    </row>
    <row r="23">
      <c r="A23" s="14" t="s">
        <v>133</v>
      </c>
      <c r="B23" s="14">
        <v>-6.0</v>
      </c>
      <c r="C23" s="14">
        <v>10.0</v>
      </c>
      <c r="D23" s="14">
        <v>242.032008693434</v>
      </c>
      <c r="E23" s="14">
        <v>94.5959331422965</v>
      </c>
      <c r="F23" s="3">
        <f t="shared" si="3"/>
        <v>3.445961579</v>
      </c>
      <c r="G23" s="14">
        <v>1.34682168562023</v>
      </c>
      <c r="H23" s="14">
        <v>1.54210816484979</v>
      </c>
      <c r="I23" s="14">
        <v>0.604329419730309</v>
      </c>
      <c r="J23" s="14">
        <v>2.5585878869587</v>
      </c>
      <c r="K23" s="14">
        <v>62.9741732870993</v>
      </c>
      <c r="L23" s="14">
        <v>37.0258267129006</v>
      </c>
      <c r="M23" s="14">
        <v>3.4346250863873</v>
      </c>
      <c r="N23" s="15">
        <v>9.27468962087064E-7</v>
      </c>
      <c r="O23" s="14">
        <v>2.80395057909969E-4</v>
      </c>
      <c r="P23" s="14">
        <v>1.34653061038476</v>
      </c>
      <c r="Q23" s="15">
        <v>2.52773643162944E-7</v>
      </c>
      <c r="R23" s="14">
        <v>3.7337880666898E-4</v>
      </c>
      <c r="S23" s="14">
        <v>62.9693361784479</v>
      </c>
      <c r="T23" s="14">
        <v>1.14746877685297E-4</v>
      </c>
      <c r="U23" s="14">
        <v>1.70114496273177E-4</v>
      </c>
      <c r="V23" s="14">
        <v>86.7908112586823</v>
      </c>
      <c r="W23" s="14">
        <v>18.7707062031898</v>
      </c>
      <c r="X23" s="14">
        <v>67.387317544819</v>
      </c>
      <c r="Y23" s="14">
        <v>5.60420921880453</v>
      </c>
      <c r="Z23" s="14">
        <v>4.36584956124006</v>
      </c>
      <c r="AA23" s="14">
        <v>2.05345534531456</v>
      </c>
      <c r="AB23" s="14">
        <v>2.21490267526953</v>
      </c>
      <c r="AC23" s="14">
        <v>2.3912926843998</v>
      </c>
      <c r="AD23" s="14">
        <v>2.54199515856895</v>
      </c>
      <c r="AE23" s="14">
        <v>2.03379548245896</v>
      </c>
      <c r="AF23" s="14">
        <v>2.03264355873381</v>
      </c>
      <c r="AG23" s="14">
        <v>3.67365947267241</v>
      </c>
      <c r="AH23" s="14">
        <v>4.02622994894337</v>
      </c>
      <c r="AI23" s="14">
        <v>0.433711061374232</v>
      </c>
      <c r="AJ23" s="14">
        <v>0.705135902917013</v>
      </c>
      <c r="AK23" s="14">
        <v>1.6447542350029</v>
      </c>
      <c r="AL23" s="14">
        <v>0.339566381045213</v>
      </c>
      <c r="AM23" s="14">
        <v>0.439339757635378</v>
      </c>
      <c r="AN23" s="14">
        <v>0.0</v>
      </c>
      <c r="AO23" s="14">
        <v>0.0</v>
      </c>
      <c r="AP23" s="14">
        <v>91.8246994665213</v>
      </c>
      <c r="AQ23" s="14">
        <v>48.3587368692974</v>
      </c>
      <c r="AR23" s="14">
        <v>68.7914884405947</v>
      </c>
      <c r="AS23" s="14">
        <v>20.9163861866659</v>
      </c>
      <c r="AT23" s="14">
        <v>1.43685489907611</v>
      </c>
      <c r="AU23" s="14">
        <v>0.0</v>
      </c>
      <c r="AV23" s="14">
        <v>0.0</v>
      </c>
      <c r="AW23" s="14">
        <v>12.2206490748284</v>
      </c>
      <c r="AX23" s="14">
        <v>26.5969065781973</v>
      </c>
      <c r="AY23" s="14">
        <v>7.95771034045942</v>
      </c>
      <c r="AZ23" s="14">
        <v>0.0</v>
      </c>
      <c r="BA23" s="14">
        <v>0.0</v>
      </c>
      <c r="BB23" s="14">
        <v>-0.756884958891524</v>
      </c>
      <c r="BC23" s="14">
        <v>1.58347087581226</v>
      </c>
      <c r="BD23" s="14">
        <v>63.8731979637279</v>
      </c>
      <c r="BE23" s="14">
        <v>8.88944154280935</v>
      </c>
      <c r="BF23" s="14">
        <v>0.0</v>
      </c>
      <c r="BG23" s="14">
        <v>0.0</v>
      </c>
      <c r="BH23" s="14">
        <v>0.0</v>
      </c>
      <c r="BI23" s="14">
        <v>0.0</v>
      </c>
      <c r="BJ23" s="14">
        <v>0.0</v>
      </c>
      <c r="BK23" s="14">
        <v>0.0</v>
      </c>
      <c r="BL23" s="14">
        <v>0.0</v>
      </c>
      <c r="BM23" s="14">
        <v>0.0</v>
      </c>
      <c r="BN23" s="14">
        <v>0.0</v>
      </c>
      <c r="BO23" s="14">
        <v>0.0</v>
      </c>
      <c r="BP23" s="14">
        <v>0.0</v>
      </c>
      <c r="BQ23" s="14">
        <v>0.0</v>
      </c>
      <c r="BR23" s="14">
        <v>0.0</v>
      </c>
      <c r="BS23" s="14">
        <v>0.0</v>
      </c>
      <c r="BT23" s="14">
        <v>-0.0179233987921638</v>
      </c>
      <c r="BU23" s="14">
        <v>0.667834930566878</v>
      </c>
      <c r="BV23" s="14">
        <v>6.41893249163846</v>
      </c>
      <c r="BW23" s="14">
        <v>11.402113108904</v>
      </c>
      <c r="BX23" s="14">
        <v>0.0</v>
      </c>
      <c r="BY23" s="14">
        <v>0.0</v>
      </c>
      <c r="BZ23" s="14">
        <v>0.0</v>
      </c>
      <c r="CA23" s="14">
        <v>-0.145669767473625</v>
      </c>
      <c r="CB23" s="14">
        <v>4.68659238812948</v>
      </c>
      <c r="CC23" s="14">
        <v>0.0</v>
      </c>
      <c r="CD23" s="14">
        <v>0.0</v>
      </c>
      <c r="CE23" s="14">
        <v>0.0</v>
      </c>
      <c r="CF23" s="14">
        <v>0.0</v>
      </c>
      <c r="CG23" s="14">
        <v>0.0</v>
      </c>
      <c r="CH23" s="14">
        <v>0.0</v>
      </c>
      <c r="CI23" s="14">
        <v>0.963477067605762</v>
      </c>
      <c r="CJ23" s="14">
        <v>1.47239079692302</v>
      </c>
      <c r="CK23" s="14">
        <v>0.963477067605762</v>
      </c>
      <c r="CL23" s="14">
        <v>2.71181912874705</v>
      </c>
      <c r="CM23" s="14">
        <v>0.0</v>
      </c>
      <c r="CN23" s="14">
        <v>-0.817119718178232</v>
      </c>
      <c r="CO23" s="14">
        <v>-0.0524035602776755</v>
      </c>
      <c r="CP23" s="14">
        <v>0.106430424468465</v>
      </c>
      <c r="CQ23" s="14">
        <v>0.0</v>
      </c>
      <c r="CR23" s="14">
        <v>0.0</v>
      </c>
      <c r="CS23" s="14">
        <v>0.0</v>
      </c>
      <c r="CT23" s="14">
        <v>94.5959331422965</v>
      </c>
      <c r="CU23" s="14">
        <v>-242.032008693434</v>
      </c>
      <c r="CV23" s="14">
        <v>-234.477391258627</v>
      </c>
      <c r="CW23" s="14">
        <v>45.3050404708135</v>
      </c>
      <c r="CX23" s="14">
        <v>0.968786701083095</v>
      </c>
      <c r="CY23" s="14">
        <v>0.478932222198845</v>
      </c>
      <c r="CZ23" s="14">
        <v>3.4510080425977</v>
      </c>
      <c r="DA23" s="14">
        <v>1.11431087222369</v>
      </c>
      <c r="DB23" s="14">
        <v>10.41573536</v>
      </c>
      <c r="DC23" s="14">
        <v>1.162</v>
      </c>
      <c r="DD23" s="14">
        <v>100.0</v>
      </c>
      <c r="DE23" s="14">
        <v>47.777</v>
      </c>
      <c r="DF23" s="14">
        <v>3.53416638888888</v>
      </c>
      <c r="DG23" s="14">
        <v>25.4459979999999</v>
      </c>
      <c r="DH23" s="16"/>
      <c r="DI23" s="16"/>
    </row>
    <row r="25">
      <c r="A25" s="18" t="s">
        <v>129</v>
      </c>
      <c r="B25" s="18">
        <v>-4.0</v>
      </c>
      <c r="C25" s="18">
        <v>15.0</v>
      </c>
      <c r="D25" s="18">
        <v>941.429091751649</v>
      </c>
      <c r="E25" s="18">
        <v>355.994305007775</v>
      </c>
      <c r="F25" s="3">
        <f t="shared" ref="F25:F27" si="4">D25/(0.5*DC25*DA25*(DB25^2))</f>
        <v>5.974503984</v>
      </c>
      <c r="G25" s="18">
        <v>2.25921362778565</v>
      </c>
      <c r="H25" s="18">
        <v>2.67366054737602</v>
      </c>
      <c r="I25" s="18">
        <v>1.01376329348554</v>
      </c>
      <c r="J25" s="18">
        <v>2.64450604548599</v>
      </c>
      <c r="K25" s="18">
        <v>64.2430447389903</v>
      </c>
      <c r="L25" s="18">
        <v>35.7569552610096</v>
      </c>
      <c r="M25" s="18">
        <v>3.40374622692945</v>
      </c>
      <c r="N25" s="19">
        <v>3.16470445589373E-6</v>
      </c>
      <c r="O25" s="18">
        <v>5.22648136592994E-4</v>
      </c>
      <c r="P25" s="18">
        <v>1.29349460933217</v>
      </c>
      <c r="Q25" s="19">
        <v>6.24860865428355E-6</v>
      </c>
      <c r="R25" s="18">
        <v>0.0019325335392459</v>
      </c>
      <c r="S25" s="18">
        <v>64.1591352754868</v>
      </c>
      <c r="T25" s="18">
        <v>0.0023980910157965</v>
      </c>
      <c r="U25" s="18">
        <v>7.63263209223018E-4</v>
      </c>
      <c r="V25" s="18">
        <v>348.69973270861</v>
      </c>
      <c r="W25" s="18">
        <v>75.0312577368823</v>
      </c>
      <c r="X25" s="18">
        <v>271.316489690695</v>
      </c>
      <c r="Y25" s="18">
        <v>22.3538338591401</v>
      </c>
      <c r="Z25" s="18">
        <v>16.893305697886</v>
      </c>
      <c r="AA25" s="18">
        <v>8.34198684885621</v>
      </c>
      <c r="AB25" s="18">
        <v>8.77005260088056</v>
      </c>
      <c r="AC25" s="18">
        <v>9.86714834506604</v>
      </c>
      <c r="AD25" s="18">
        <v>10.0755593155721</v>
      </c>
      <c r="AE25" s="18">
        <v>7.89118478670067</v>
      </c>
      <c r="AF25" s="18">
        <v>8.18785256688814</v>
      </c>
      <c r="AG25" s="18">
        <v>14.7237558210555</v>
      </c>
      <c r="AH25" s="18">
        <v>16.2433212188757</v>
      </c>
      <c r="AI25" s="18">
        <v>1.802506110908</v>
      </c>
      <c r="AJ25" s="18">
        <v>2.97823668136832</v>
      </c>
      <c r="AK25" s="18">
        <v>6.39177004442844</v>
      </c>
      <c r="AL25" s="18">
        <v>1.37047243272944</v>
      </c>
      <c r="AM25" s="18">
        <v>1.79975860338625</v>
      </c>
      <c r="AN25" s="18">
        <v>0.0</v>
      </c>
      <c r="AO25" s="18">
        <v>0.0</v>
      </c>
      <c r="AP25" s="18">
        <v>352.593232353784</v>
      </c>
      <c r="AQ25" s="18">
        <v>178.202267942534</v>
      </c>
      <c r="AR25" s="18">
        <v>267.406703757532</v>
      </c>
      <c r="AS25" s="18">
        <v>76.4842528045676</v>
      </c>
      <c r="AT25" s="18">
        <v>5.72179753346984</v>
      </c>
      <c r="AU25" s="18">
        <v>0.0</v>
      </c>
      <c r="AV25" s="18">
        <v>0.0</v>
      </c>
      <c r="AW25" s="18">
        <v>43.848815656312</v>
      </c>
      <c r="AX25" s="18">
        <v>97.3505655710019</v>
      </c>
      <c r="AY25" s="18">
        <v>31.9329789775094</v>
      </c>
      <c r="AZ25" s="18">
        <v>0.0</v>
      </c>
      <c r="BA25" s="18">
        <v>0.0</v>
      </c>
      <c r="BB25" s="18">
        <v>-2.7413192752556</v>
      </c>
      <c r="BC25" s="18">
        <v>5.06990773771136</v>
      </c>
      <c r="BD25" s="18">
        <v>247.204145301701</v>
      </c>
      <c r="BE25" s="18">
        <v>33.0941989676163</v>
      </c>
      <c r="BF25" s="18">
        <v>0.0</v>
      </c>
      <c r="BG25" s="18">
        <v>0.0</v>
      </c>
      <c r="BH25" s="18">
        <v>0.0</v>
      </c>
      <c r="BI25" s="18">
        <v>0.0</v>
      </c>
      <c r="BJ25" s="18">
        <v>0.0</v>
      </c>
      <c r="BK25" s="18">
        <v>0.0</v>
      </c>
      <c r="BL25" s="18">
        <v>0.0</v>
      </c>
      <c r="BM25" s="18">
        <v>0.0</v>
      </c>
      <c r="BN25" s="18">
        <v>0.0</v>
      </c>
      <c r="BO25" s="18">
        <v>0.0</v>
      </c>
      <c r="BP25" s="18">
        <v>0.0</v>
      </c>
      <c r="BQ25" s="18">
        <v>0.0</v>
      </c>
      <c r="BR25" s="18">
        <v>0.0</v>
      </c>
      <c r="BS25" s="18">
        <v>0.0</v>
      </c>
      <c r="BT25" s="18">
        <v>-0.0655525566646434</v>
      </c>
      <c r="BU25" s="18">
        <v>2.1261299647509</v>
      </c>
      <c r="BV25" s="18">
        <v>19.7845651741802</v>
      </c>
      <c r="BW25" s="18">
        <v>43.2036815118961</v>
      </c>
      <c r="BX25" s="18">
        <v>0.0</v>
      </c>
      <c r="BY25" s="18">
        <v>0.0</v>
      </c>
      <c r="BZ25" s="18">
        <v>0.0</v>
      </c>
      <c r="CA25" s="18">
        <v>0.0125604747565184</v>
      </c>
      <c r="CB25" s="18">
        <v>17.4255165139107</v>
      </c>
      <c r="CC25" s="18">
        <v>0.0</v>
      </c>
      <c r="CD25" s="18">
        <v>0.0</v>
      </c>
      <c r="CE25" s="18">
        <v>0.0</v>
      </c>
      <c r="CF25" s="18">
        <v>0.0</v>
      </c>
      <c r="CG25" s="18">
        <v>0.0</v>
      </c>
      <c r="CH25" s="18">
        <v>0.0</v>
      </c>
      <c r="CI25" s="18">
        <v>3.71138541496828</v>
      </c>
      <c r="CJ25" s="18">
        <v>6.90050111260886</v>
      </c>
      <c r="CK25" s="18">
        <v>3.71138541496828</v>
      </c>
      <c r="CL25" s="18">
        <v>9.46990712126586</v>
      </c>
      <c r="CM25" s="18">
        <v>0.0</v>
      </c>
      <c r="CN25" s="18">
        <v>-2.41541657805556</v>
      </c>
      <c r="CO25" s="18">
        <v>-0.0944876215541655</v>
      </c>
      <c r="CP25" s="18">
        <v>0.22315145117508</v>
      </c>
      <c r="CQ25" s="18">
        <v>0.0</v>
      </c>
      <c r="CR25" s="18">
        <v>0.0</v>
      </c>
      <c r="CS25" s="18">
        <v>0.0</v>
      </c>
      <c r="CT25" s="18">
        <v>355.994305007775</v>
      </c>
      <c r="CU25" s="18">
        <v>-941.429091751649</v>
      </c>
      <c r="CV25" s="18">
        <v>-888.81814190768</v>
      </c>
      <c r="CW25" s="18">
        <v>168.354692970865</v>
      </c>
      <c r="CX25" s="18">
        <v>0.944115865650509</v>
      </c>
      <c r="CY25" s="18">
        <v>0.472914006214757</v>
      </c>
      <c r="CZ25" s="18">
        <v>3.45165548954137</v>
      </c>
      <c r="DA25" s="18">
        <v>1.11427077815077</v>
      </c>
      <c r="DB25" s="18">
        <v>15.60125168</v>
      </c>
      <c r="DC25" s="18">
        <v>1.162</v>
      </c>
      <c r="DD25" s="18">
        <v>100.0</v>
      </c>
      <c r="DE25" s="18">
        <v>49.926</v>
      </c>
      <c r="DF25" s="18">
        <v>6.94510944444444</v>
      </c>
      <c r="DG25" s="18">
        <v>25.0023939999999</v>
      </c>
      <c r="DH25" s="20"/>
      <c r="DI25" s="20"/>
    </row>
    <row r="26">
      <c r="A26" s="18" t="s">
        <v>134</v>
      </c>
      <c r="B26" s="18">
        <v>-6.0</v>
      </c>
      <c r="C26" s="18">
        <v>15.0</v>
      </c>
      <c r="D26" s="18">
        <v>547.058082528251</v>
      </c>
      <c r="E26" s="18">
        <v>211.617073390587</v>
      </c>
      <c r="F26" s="3">
        <f t="shared" si="4"/>
        <v>3.49159947</v>
      </c>
      <c r="G26" s="18">
        <v>1.35064646713414</v>
      </c>
      <c r="H26" s="18">
        <v>1.56253173247675</v>
      </c>
      <c r="I26" s="18">
        <v>0.606045629097574</v>
      </c>
      <c r="J26" s="18">
        <v>2.58513206785792</v>
      </c>
      <c r="K26" s="18">
        <v>63.1545902967043</v>
      </c>
      <c r="L26" s="18">
        <v>36.8454097032956</v>
      </c>
      <c r="M26" s="18">
        <v>3.48269942878504</v>
      </c>
      <c r="N26" s="19">
        <v>2.14078120418422E-7</v>
      </c>
      <c r="O26" s="18">
        <v>1.32852627110317E-4</v>
      </c>
      <c r="P26" s="18">
        <v>1.35068596507769</v>
      </c>
      <c r="Q26" s="19">
        <v>1.87018035187525E-7</v>
      </c>
      <c r="R26" s="18">
        <v>3.20174955504582E-4</v>
      </c>
      <c r="S26" s="18">
        <v>63.1665365455911</v>
      </c>
      <c r="T26" s="19">
        <v>6.04844141163856E-5</v>
      </c>
      <c r="U26" s="18">
        <v>1.23121720063893E-4</v>
      </c>
      <c r="V26" s="18">
        <v>196.698765086567</v>
      </c>
      <c r="W26" s="18">
        <v>42.2965210470517</v>
      </c>
      <c r="X26" s="18">
        <v>152.759500919754</v>
      </c>
      <c r="Y26" s="18">
        <v>12.6870204831187</v>
      </c>
      <c r="Z26" s="18">
        <v>9.81311279061839</v>
      </c>
      <c r="AA26" s="18">
        <v>4.68491540975996</v>
      </c>
      <c r="AB26" s="18">
        <v>5.03672395540935</v>
      </c>
      <c r="AC26" s="18">
        <v>5.14576213788379</v>
      </c>
      <c r="AD26" s="18">
        <v>5.76605805909767</v>
      </c>
      <c r="AE26" s="18">
        <v>4.57591345633478</v>
      </c>
      <c r="AF26" s="18">
        <v>4.618862646266</v>
      </c>
      <c r="AG26" s="18">
        <v>8.3799303906609</v>
      </c>
      <c r="AH26" s="18">
        <v>9.10739386700269</v>
      </c>
      <c r="AI26" s="18">
        <v>0.996132382708855</v>
      </c>
      <c r="AJ26" s="18">
        <v>1.6139652781953</v>
      </c>
      <c r="AK26" s="18">
        <v>3.67510142378688</v>
      </c>
      <c r="AL26" s="18">
        <v>0.773186925920773</v>
      </c>
      <c r="AM26" s="18">
        <v>0.981775616440011</v>
      </c>
      <c r="AN26" s="18">
        <v>0.0</v>
      </c>
      <c r="AO26" s="18">
        <v>0.0</v>
      </c>
      <c r="AP26" s="18">
        <v>207.453133994043</v>
      </c>
      <c r="AQ26" s="18">
        <v>108.343446081649</v>
      </c>
      <c r="AR26" s="18">
        <v>155.556321239283</v>
      </c>
      <c r="AS26" s="18">
        <v>46.901451717145</v>
      </c>
      <c r="AT26" s="18">
        <v>3.29890535367372</v>
      </c>
      <c r="AU26" s="18">
        <v>0.0</v>
      </c>
      <c r="AV26" s="18">
        <v>0.0</v>
      </c>
      <c r="AW26" s="18">
        <v>27.1114326005068</v>
      </c>
      <c r="AX26" s="18">
        <v>59.7018178089968</v>
      </c>
      <c r="AY26" s="18">
        <v>18.0045093808149</v>
      </c>
      <c r="AZ26" s="18">
        <v>0.0</v>
      </c>
      <c r="BA26" s="18">
        <v>0.0</v>
      </c>
      <c r="BB26" s="18">
        <v>-1.60244966973236</v>
      </c>
      <c r="BC26" s="18">
        <v>3.52568629133052</v>
      </c>
      <c r="BD26" s="18">
        <v>144.668632225323</v>
      </c>
      <c r="BE26" s="18">
        <v>19.8170387100717</v>
      </c>
      <c r="BF26" s="18">
        <v>0.0</v>
      </c>
      <c r="BG26" s="18">
        <v>0.0</v>
      </c>
      <c r="BH26" s="18">
        <v>0.0</v>
      </c>
      <c r="BI26" s="18">
        <v>0.0</v>
      </c>
      <c r="BJ26" s="18">
        <v>0.0</v>
      </c>
      <c r="BK26" s="18">
        <v>0.0</v>
      </c>
      <c r="BL26" s="18">
        <v>0.0</v>
      </c>
      <c r="BM26" s="18">
        <v>0.0</v>
      </c>
      <c r="BN26" s="18">
        <v>0.0</v>
      </c>
      <c r="BO26" s="18">
        <v>0.0</v>
      </c>
      <c r="BP26" s="18">
        <v>0.0</v>
      </c>
      <c r="BQ26" s="18">
        <v>0.0</v>
      </c>
      <c r="BR26" s="18">
        <v>0.0</v>
      </c>
      <c r="BS26" s="18">
        <v>0.0</v>
      </c>
      <c r="BT26" s="18">
        <v>-0.040405494159231</v>
      </c>
      <c r="BU26" s="18">
        <v>1.36612222389621</v>
      </c>
      <c r="BV26" s="18">
        <v>13.427976451347</v>
      </c>
      <c r="BW26" s="18">
        <v>26.0053650671786</v>
      </c>
      <c r="BX26" s="18">
        <v>0.0</v>
      </c>
      <c r="BY26" s="18">
        <v>0.0</v>
      </c>
      <c r="BZ26" s="18">
        <v>0.0</v>
      </c>
      <c r="CA26" s="18">
        <v>-0.100262222994974</v>
      </c>
      <c r="CB26" s="18">
        <v>10.2504865166784</v>
      </c>
      <c r="CC26" s="18">
        <v>0.0</v>
      </c>
      <c r="CD26" s="18">
        <v>0.0</v>
      </c>
      <c r="CE26" s="18">
        <v>0.0</v>
      </c>
      <c r="CF26" s="18">
        <v>0.0</v>
      </c>
      <c r="CG26" s="18">
        <v>0.0</v>
      </c>
      <c r="CH26" s="18">
        <v>0.0</v>
      </c>
      <c r="CI26" s="18">
        <v>1.93438411184267</v>
      </c>
      <c r="CJ26" s="18">
        <v>3.3250911070292</v>
      </c>
      <c r="CK26" s="18">
        <v>1.93438411184267</v>
      </c>
      <c r="CL26" s="18">
        <v>5.83849129390763</v>
      </c>
      <c r="CM26" s="18">
        <v>0.0</v>
      </c>
      <c r="CN26" s="18">
        <v>-1.98919433804008</v>
      </c>
      <c r="CO26" s="18">
        <v>-0.0627562590294097</v>
      </c>
      <c r="CP26" s="18">
        <v>0.156919276823318</v>
      </c>
      <c r="CQ26" s="18">
        <v>0.0</v>
      </c>
      <c r="CR26" s="18">
        <v>0.0</v>
      </c>
      <c r="CS26" s="18">
        <v>0.0</v>
      </c>
      <c r="CT26" s="18">
        <v>211.617073390587</v>
      </c>
      <c r="CU26" s="18">
        <v>-547.058082528251</v>
      </c>
      <c r="CV26" s="18">
        <v>-528.063619209783</v>
      </c>
      <c r="CW26" s="18">
        <v>101.594082754431</v>
      </c>
      <c r="CX26" s="18">
        <v>0.965278890989628</v>
      </c>
      <c r="CY26" s="18">
        <v>0.480084527806111</v>
      </c>
      <c r="CZ26" s="18">
        <v>3.4510080425977</v>
      </c>
      <c r="DA26" s="18">
        <v>1.11431087222369</v>
      </c>
      <c r="DB26" s="18">
        <v>15.55654895</v>
      </c>
      <c r="DC26" s="18">
        <v>1.162</v>
      </c>
      <c r="DD26" s="18">
        <v>100.0</v>
      </c>
      <c r="DE26" s="18">
        <v>44.234</v>
      </c>
      <c r="DF26" s="18">
        <v>3.48052944444443</v>
      </c>
      <c r="DG26" s="18">
        <v>25.0598119999999</v>
      </c>
      <c r="DH26" s="20"/>
      <c r="DI26" s="20"/>
    </row>
    <row r="27">
      <c r="A27" s="18" t="s">
        <v>136</v>
      </c>
      <c r="B27" s="18">
        <v>-8.0</v>
      </c>
      <c r="C27" s="18">
        <v>15.0</v>
      </c>
      <c r="D27" s="18">
        <v>489.790778223283</v>
      </c>
      <c r="E27" s="18">
        <v>192.764628851499</v>
      </c>
      <c r="F27" s="3">
        <f t="shared" si="4"/>
        <v>3.125940878</v>
      </c>
      <c r="G27" s="18">
        <v>1.23026174703202</v>
      </c>
      <c r="H27" s="18">
        <v>1.39889522210768</v>
      </c>
      <c r="I27" s="18">
        <v>0.552001595292736</v>
      </c>
      <c r="J27" s="18">
        <v>2.54087475042221</v>
      </c>
      <c r="K27" s="18">
        <v>65.9599345153833</v>
      </c>
      <c r="L27" s="18">
        <v>34.0400654846166</v>
      </c>
      <c r="M27" s="18">
        <v>3.13056464201991</v>
      </c>
      <c r="N27" s="19">
        <v>3.65914118502146E-5</v>
      </c>
      <c r="O27" s="18">
        <v>0.0019322659795552</v>
      </c>
      <c r="P27" s="18">
        <v>1.23614506663068</v>
      </c>
      <c r="Q27" s="19">
        <v>1.08397966202899E-5</v>
      </c>
      <c r="R27" s="18">
        <v>0.0026634290175715</v>
      </c>
      <c r="S27" s="18">
        <v>65.7222393440413</v>
      </c>
      <c r="T27" s="18">
        <v>0.0128964627297961</v>
      </c>
      <c r="U27" s="18">
        <v>0.0017279172928073</v>
      </c>
      <c r="V27" s="18">
        <v>189.172145207709</v>
      </c>
      <c r="W27" s="18">
        <v>40.1157974102443</v>
      </c>
      <c r="X27" s="18">
        <v>147.736839607099</v>
      </c>
      <c r="Y27" s="18">
        <v>12.111425149572</v>
      </c>
      <c r="Z27" s="18">
        <v>8.98421079437275</v>
      </c>
      <c r="AA27" s="18">
        <v>4.53735655386008</v>
      </c>
      <c r="AB27" s="18">
        <v>4.58349382686667</v>
      </c>
      <c r="AC27" s="18">
        <v>5.12980984422024</v>
      </c>
      <c r="AD27" s="18">
        <v>5.48230313768506</v>
      </c>
      <c r="AE27" s="18">
        <v>4.15518023131256</v>
      </c>
      <c r="AF27" s="18">
        <v>4.48872232917813</v>
      </c>
      <c r="AG27" s="18">
        <v>7.83824533465576</v>
      </c>
      <c r="AH27" s="18">
        <v>8.7287853449414</v>
      </c>
      <c r="AI27" s="18">
        <v>0.977743866276542</v>
      </c>
      <c r="AJ27" s="18">
        <v>1.51229006472054</v>
      </c>
      <c r="AK27" s="18">
        <v>3.47239798499636</v>
      </c>
      <c r="AL27" s="18">
        <v>0.74548760904098</v>
      </c>
      <c r="AM27" s="18">
        <v>0.965405604499444</v>
      </c>
      <c r="AN27" s="18">
        <v>0.0</v>
      </c>
      <c r="AO27" s="18">
        <v>0.0</v>
      </c>
      <c r="AP27" s="18">
        <v>177.096116307633</v>
      </c>
      <c r="AQ27" s="18">
        <v>92.3199819348811</v>
      </c>
      <c r="AR27" s="18">
        <v>134.120353293452</v>
      </c>
      <c r="AS27" s="18">
        <v>38.3580571242546</v>
      </c>
      <c r="AT27" s="18">
        <v>2.99833118528188</v>
      </c>
      <c r="AU27" s="18">
        <v>0.0</v>
      </c>
      <c r="AV27" s="18">
        <v>0.0</v>
      </c>
      <c r="AW27" s="18">
        <v>22.070048487777</v>
      </c>
      <c r="AX27" s="18">
        <v>49.9386124439186</v>
      </c>
      <c r="AY27" s="18">
        <v>17.6255132628524</v>
      </c>
      <c r="AZ27" s="18">
        <v>0.0</v>
      </c>
      <c r="BA27" s="18">
        <v>0.0</v>
      </c>
      <c r="BB27" s="18">
        <v>-1.37895648063726</v>
      </c>
      <c r="BC27" s="18">
        <v>2.68580774033302</v>
      </c>
      <c r="BD27" s="18">
        <v>128.362105369898</v>
      </c>
      <c r="BE27" s="18">
        <v>17.707370480818</v>
      </c>
      <c r="BF27" s="18">
        <v>0.0</v>
      </c>
      <c r="BG27" s="18">
        <v>0.0</v>
      </c>
      <c r="BH27" s="18">
        <v>0.0</v>
      </c>
      <c r="BI27" s="18">
        <v>0.0</v>
      </c>
      <c r="BJ27" s="18">
        <v>0.0</v>
      </c>
      <c r="BK27" s="18">
        <v>0.0</v>
      </c>
      <c r="BL27" s="18">
        <v>0.0</v>
      </c>
      <c r="BM27" s="18">
        <v>0.0</v>
      </c>
      <c r="BN27" s="18">
        <v>0.0</v>
      </c>
      <c r="BO27" s="18">
        <v>0.0</v>
      </c>
      <c r="BP27" s="18">
        <v>0.0</v>
      </c>
      <c r="BQ27" s="18">
        <v>0.0</v>
      </c>
      <c r="BR27" s="18">
        <v>0.0</v>
      </c>
      <c r="BS27" s="18">
        <v>0.0</v>
      </c>
      <c r="BT27" s="18">
        <v>-0.162532435443091</v>
      </c>
      <c r="BU27" s="18">
        <v>1.16798709327329</v>
      </c>
      <c r="BV27" s="18">
        <v>12.1537727582207</v>
      </c>
      <c r="BW27" s="18">
        <v>24.1164740737457</v>
      </c>
      <c r="BX27" s="18">
        <v>0.0</v>
      </c>
      <c r="BY27" s="18">
        <v>0.0</v>
      </c>
      <c r="BZ27" s="18">
        <v>0.0</v>
      </c>
      <c r="CA27" s="18">
        <v>-0.268033425429674</v>
      </c>
      <c r="CB27" s="18">
        <v>9.50280004082258</v>
      </c>
      <c r="CC27" s="18">
        <v>0.0</v>
      </c>
      <c r="CD27" s="18">
        <v>0.0</v>
      </c>
      <c r="CE27" s="18">
        <v>0.0</v>
      </c>
      <c r="CF27" s="18">
        <v>0.0</v>
      </c>
      <c r="CG27" s="18">
        <v>0.0</v>
      </c>
      <c r="CH27" s="18">
        <v>0.0</v>
      </c>
      <c r="CI27" s="18">
        <v>2.90327067204642</v>
      </c>
      <c r="CJ27" s="18">
        <v>6.73557739572213</v>
      </c>
      <c r="CK27" s="18">
        <v>2.90327067204642</v>
      </c>
      <c r="CL27" s="18">
        <v>5.33719107602448</v>
      </c>
      <c r="CM27" s="18">
        <v>0.0</v>
      </c>
      <c r="CN27" s="18">
        <v>-0.116416465784375</v>
      </c>
      <c r="CO27" s="18">
        <v>-0.49550285711294</v>
      </c>
      <c r="CP27" s="18">
        <v>0.171730512302587</v>
      </c>
      <c r="CQ27" s="18">
        <v>0.0</v>
      </c>
      <c r="CR27" s="18">
        <v>0.0</v>
      </c>
      <c r="CS27" s="18">
        <v>0.0</v>
      </c>
      <c r="CT27" s="18">
        <v>192.764628851499</v>
      </c>
      <c r="CU27" s="18">
        <v>-489.790778223283</v>
      </c>
      <c r="CV27" s="18">
        <v>-446.069407819921</v>
      </c>
      <c r="CW27" s="18">
        <v>88.3055036827164</v>
      </c>
      <c r="CX27" s="18">
        <v>0.910734598634213</v>
      </c>
      <c r="CY27" s="18">
        <v>0.458100141135045</v>
      </c>
      <c r="CZ27" s="18">
        <v>3.45106377608804</v>
      </c>
      <c r="DA27" s="18">
        <v>1.11436430394697</v>
      </c>
      <c r="DB27" s="18">
        <v>15.55654895</v>
      </c>
      <c r="DC27" s="18">
        <v>1.162</v>
      </c>
      <c r="DD27" s="18">
        <v>100.0</v>
      </c>
      <c r="DE27" s="18">
        <v>44.936</v>
      </c>
      <c r="DF27" s="18">
        <v>3.81506638888888</v>
      </c>
      <c r="DG27" s="18">
        <v>27.4684779999999</v>
      </c>
      <c r="DH27" s="20"/>
      <c r="DI27" s="2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42</v>
      </c>
      <c r="AP2" s="1" t="s">
        <v>44</v>
      </c>
      <c r="AQ2" s="1" t="s">
        <v>45</v>
      </c>
      <c r="AR2" s="1" t="s">
        <v>46</v>
      </c>
      <c r="AS2" s="1" t="s">
        <v>49</v>
      </c>
      <c r="AT2" s="1" t="s">
        <v>50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61</v>
      </c>
      <c r="BE2" s="1" t="s">
        <v>62</v>
      </c>
      <c r="BF2" s="1" t="s">
        <v>63</v>
      </c>
      <c r="BG2" s="1" t="s">
        <v>64</v>
      </c>
      <c r="BH2" s="1" t="s">
        <v>65</v>
      </c>
      <c r="BI2" s="1" t="s">
        <v>66</v>
      </c>
      <c r="BJ2" s="1" t="s">
        <v>67</v>
      </c>
      <c r="BK2" s="1" t="s">
        <v>68</v>
      </c>
      <c r="BL2" s="1" t="s">
        <v>69</v>
      </c>
      <c r="BM2" s="1" t="s">
        <v>70</v>
      </c>
      <c r="BN2" s="1" t="s">
        <v>71</v>
      </c>
      <c r="BO2" s="1" t="s">
        <v>72</v>
      </c>
      <c r="BP2" s="1" t="s">
        <v>73</v>
      </c>
      <c r="BQ2" s="1" t="s">
        <v>74</v>
      </c>
      <c r="BR2" s="1" t="s">
        <v>75</v>
      </c>
      <c r="BS2" s="1" t="s">
        <v>76</v>
      </c>
      <c r="BT2" s="1" t="s">
        <v>77</v>
      </c>
      <c r="BU2" s="1" t="s">
        <v>78</v>
      </c>
      <c r="BV2" s="1" t="s">
        <v>79</v>
      </c>
      <c r="BW2" s="1" t="s">
        <v>80</v>
      </c>
      <c r="BX2" s="1" t="s">
        <v>81</v>
      </c>
      <c r="BY2" s="1" t="s">
        <v>82</v>
      </c>
      <c r="BZ2" s="1" t="s">
        <v>83</v>
      </c>
      <c r="CA2" s="1" t="s">
        <v>84</v>
      </c>
      <c r="CB2" s="1" t="s">
        <v>85</v>
      </c>
      <c r="CC2" s="1" t="s">
        <v>86</v>
      </c>
      <c r="CD2" s="1" t="s">
        <v>87</v>
      </c>
      <c r="CE2" s="1" t="s">
        <v>88</v>
      </c>
      <c r="CF2" s="1" t="s">
        <v>89</v>
      </c>
      <c r="CG2" s="1" t="s">
        <v>90</v>
      </c>
      <c r="CH2" s="1" t="s">
        <v>91</v>
      </c>
      <c r="CI2" s="1" t="s">
        <v>92</v>
      </c>
      <c r="CJ2" s="1" t="s">
        <v>93</v>
      </c>
      <c r="CK2" s="1" t="s">
        <v>94</v>
      </c>
      <c r="CL2" s="1" t="s">
        <v>95</v>
      </c>
      <c r="CM2" s="1" t="s">
        <v>96</v>
      </c>
      <c r="CN2" s="1" t="s">
        <v>97</v>
      </c>
      <c r="CO2" s="1" t="s">
        <v>98</v>
      </c>
      <c r="CP2" s="1" t="s">
        <v>99</v>
      </c>
      <c r="CQ2" s="1" t="s">
        <v>100</v>
      </c>
      <c r="CR2" s="1" t="s">
        <v>101</v>
      </c>
      <c r="CS2" s="1" t="s">
        <v>102</v>
      </c>
      <c r="CT2" s="1" t="s">
        <v>103</v>
      </c>
      <c r="CU2" s="1" t="s">
        <v>104</v>
      </c>
      <c r="CV2" s="1" t="s">
        <v>105</v>
      </c>
      <c r="CW2" s="1" t="s">
        <v>106</v>
      </c>
      <c r="CX2" s="1" t="s">
        <v>107</v>
      </c>
      <c r="CY2" s="1" t="s">
        <v>108</v>
      </c>
      <c r="CZ2" s="1" t="s">
        <v>109</v>
      </c>
      <c r="DA2" s="1" t="s">
        <v>110</v>
      </c>
      <c r="DB2" s="1" t="s">
        <v>111</v>
      </c>
      <c r="DC2" s="1" t="s">
        <v>112</v>
      </c>
      <c r="DD2" s="1" t="s">
        <v>113</v>
      </c>
      <c r="DE2" s="1" t="s">
        <v>114</v>
      </c>
      <c r="DF2" s="1" t="s">
        <v>115</v>
      </c>
      <c r="DG2" s="1" t="s">
        <v>116</v>
      </c>
    </row>
    <row r="3">
      <c r="A3" s="5" t="s">
        <v>118</v>
      </c>
      <c r="B3" s="6">
        <v>0.0</v>
      </c>
      <c r="C3" s="6">
        <v>10.0</v>
      </c>
      <c r="D3" s="6">
        <v>242.038662973093</v>
      </c>
      <c r="E3" s="8">
        <v>94.606275875545</v>
      </c>
      <c r="F3" s="3">
        <f t="shared" ref="F3:F7" si="1">D3/(0.5*DC3*DA3*(DB3^2))</f>
        <v>3.44605632</v>
      </c>
      <c r="G3" s="8">
        <v>1.34696894160646</v>
      </c>
      <c r="H3" s="8">
        <v>1.54215056262622</v>
      </c>
      <c r="I3" s="8">
        <v>0.604395494642568</v>
      </c>
      <c r="J3" s="8">
        <v>2.55837850854098</v>
      </c>
      <c r="K3" s="8">
        <v>62.9755327356903</v>
      </c>
      <c r="L3" s="8">
        <v>37.0244672643096</v>
      </c>
      <c r="M3" s="8">
        <v>3.43466658047813</v>
      </c>
      <c r="N3" s="9">
        <v>1.06684502925091E-6</v>
      </c>
      <c r="O3" s="8">
        <v>3.0072261181469E-4</v>
      </c>
      <c r="P3" s="8">
        <v>1.34651028200911</v>
      </c>
      <c r="Q3" s="9">
        <v>2.24627124725198E-7</v>
      </c>
      <c r="R3" s="8">
        <v>3.51982786415586E-4</v>
      </c>
      <c r="S3" s="8">
        <v>62.9707843210263</v>
      </c>
      <c r="T3" s="9">
        <v>7.57005519064964E-5</v>
      </c>
      <c r="U3" s="8">
        <v>1.381689382479E-4</v>
      </c>
      <c r="V3" s="8">
        <v>86.7953401549734</v>
      </c>
      <c r="W3" s="8">
        <v>18.7717702222853</v>
      </c>
      <c r="X3" s="8">
        <v>67.3905842949296</v>
      </c>
      <c r="Y3" s="8">
        <v>5.60439688271548</v>
      </c>
      <c r="Z3" s="8">
        <v>4.36625119782385</v>
      </c>
      <c r="AA3" s="8">
        <v>2.05347160113754</v>
      </c>
      <c r="AB3" s="8">
        <v>2.2151148256704</v>
      </c>
      <c r="AC3" s="8">
        <v>2.39156056072531</v>
      </c>
      <c r="AD3" s="8">
        <v>2.54204137042429</v>
      </c>
      <c r="AE3" s="8">
        <v>2.03397367410668</v>
      </c>
      <c r="AF3" s="8">
        <v>2.03265092739756</v>
      </c>
      <c r="AG3" s="8">
        <v>3.67388479388959</v>
      </c>
      <c r="AH3" s="8">
        <v>4.02663059885943</v>
      </c>
      <c r="AI3" s="8">
        <v>0.433707701789437</v>
      </c>
      <c r="AJ3" s="8">
        <v>0.705183052047608</v>
      </c>
      <c r="AK3" s="8">
        <v>1.64487435520444</v>
      </c>
      <c r="AL3" s="8">
        <v>0.339558136639107</v>
      </c>
      <c r="AM3" s="8">
        <v>0.439341610008762</v>
      </c>
      <c r="AN3" s="8">
        <v>0.0</v>
      </c>
      <c r="AO3" s="8">
        <v>0.0</v>
      </c>
      <c r="AP3" s="8">
        <v>91.8213323914246</v>
      </c>
      <c r="AQ3" s="8">
        <v>48.3627406774407</v>
      </c>
      <c r="AR3" s="8">
        <v>68.7869354935313</v>
      </c>
      <c r="AS3" s="8">
        <v>20.9179344898558</v>
      </c>
      <c r="AT3" s="8">
        <v>1.43678617670273</v>
      </c>
      <c r="AU3" s="8">
        <v>0.0</v>
      </c>
      <c r="AV3" s="8">
        <v>0.0</v>
      </c>
      <c r="AW3" s="8">
        <v>12.2221779530213</v>
      </c>
      <c r="AX3" s="8">
        <v>26.5986564622888</v>
      </c>
      <c r="AY3" s="8">
        <v>7.95799972620377</v>
      </c>
      <c r="AZ3" s="8">
        <v>0.0</v>
      </c>
      <c r="BA3" s="8">
        <v>0.0</v>
      </c>
      <c r="BB3" s="8">
        <v>-0.757109945368028</v>
      </c>
      <c r="BC3" s="8">
        <v>1.58390653592671</v>
      </c>
      <c r="BD3" s="8">
        <v>63.878175259287</v>
      </c>
      <c r="BE3" s="8">
        <v>8.89000167387644</v>
      </c>
      <c r="BF3" s="8">
        <v>0.0</v>
      </c>
      <c r="BG3" s="8">
        <v>0.0</v>
      </c>
      <c r="BH3" s="8">
        <v>0.0</v>
      </c>
      <c r="BI3" s="8">
        <v>0.0</v>
      </c>
      <c r="BJ3" s="8">
        <v>0.0</v>
      </c>
      <c r="BK3" s="8">
        <v>0.0</v>
      </c>
      <c r="BL3" s="8">
        <v>0.0</v>
      </c>
      <c r="BM3" s="8">
        <v>0.0</v>
      </c>
      <c r="BN3" s="8">
        <v>0.0</v>
      </c>
      <c r="BO3" s="8">
        <v>0.0</v>
      </c>
      <c r="BP3" s="8">
        <v>0.0</v>
      </c>
      <c r="BQ3" s="8">
        <v>0.0</v>
      </c>
      <c r="BR3" s="8">
        <v>0.0</v>
      </c>
      <c r="BS3" s="8">
        <v>0.0</v>
      </c>
      <c r="BT3" s="8">
        <v>-0.0178945548061681</v>
      </c>
      <c r="BU3" s="8">
        <v>0.667777144421426</v>
      </c>
      <c r="BV3" s="8">
        <v>6.42297397106436</v>
      </c>
      <c r="BW3" s="8">
        <v>11.4011417187832</v>
      </c>
      <c r="BX3" s="8">
        <v>0.0</v>
      </c>
      <c r="BY3" s="8">
        <v>0.0</v>
      </c>
      <c r="BZ3" s="8">
        <v>0.0</v>
      </c>
      <c r="CA3" s="8">
        <v>-0.145825095548805</v>
      </c>
      <c r="CB3" s="8">
        <v>4.68552994954204</v>
      </c>
      <c r="CC3" s="8">
        <v>0.0</v>
      </c>
      <c r="CD3" s="8">
        <v>0.0</v>
      </c>
      <c r="CE3" s="8">
        <v>0.0</v>
      </c>
      <c r="CF3" s="8">
        <v>0.0</v>
      </c>
      <c r="CG3" s="8">
        <v>0.0</v>
      </c>
      <c r="CH3" s="8">
        <v>0.0</v>
      </c>
      <c r="CI3" s="8">
        <v>0.970023457650598</v>
      </c>
      <c r="CJ3" s="8">
        <v>1.47311117868522</v>
      </c>
      <c r="CK3" s="8">
        <v>0.970023457650598</v>
      </c>
      <c r="CL3" s="8">
        <v>2.71077770276295</v>
      </c>
      <c r="CM3" s="8">
        <v>0.0</v>
      </c>
      <c r="CN3" s="8">
        <v>-0.819106202234804</v>
      </c>
      <c r="CO3" s="8">
        <v>-0.0518762985483628</v>
      </c>
      <c r="CP3" s="8">
        <v>0.106397758914405</v>
      </c>
      <c r="CQ3" s="8">
        <v>0.0</v>
      </c>
      <c r="CR3" s="8">
        <v>0.0</v>
      </c>
      <c r="CS3" s="8">
        <v>0.0</v>
      </c>
      <c r="CT3" s="8">
        <v>94.606275875545</v>
      </c>
      <c r="CU3" s="8">
        <v>-242.038662973093</v>
      </c>
      <c r="CV3" s="8">
        <v>-234.4774356325</v>
      </c>
      <c r="CW3" s="8">
        <v>45.3073420511598</v>
      </c>
      <c r="CX3" s="8">
        <v>0.968760249921583</v>
      </c>
      <c r="CY3" s="8">
        <v>0.478904191417088</v>
      </c>
      <c r="CZ3" s="8">
        <v>3.4510080425977</v>
      </c>
      <c r="DA3" s="8">
        <v>1.11431087222369</v>
      </c>
      <c r="DB3" s="8">
        <v>10.41573536</v>
      </c>
      <c r="DC3" s="8">
        <v>1.162</v>
      </c>
      <c r="DD3" s="8">
        <v>100.0</v>
      </c>
      <c r="DE3" s="8">
        <v>23.604</v>
      </c>
      <c r="DF3" s="8">
        <v>3.37176333333333</v>
      </c>
      <c r="DG3" s="8">
        <v>24.0840238095238</v>
      </c>
      <c r="DH3" s="5"/>
      <c r="DI3" s="5"/>
    </row>
    <row r="4">
      <c r="A4" s="5" t="s">
        <v>126</v>
      </c>
      <c r="B4" s="6">
        <v>0.0</v>
      </c>
      <c r="C4" s="6">
        <v>10.0</v>
      </c>
      <c r="D4" s="6">
        <v>242.033447672752</v>
      </c>
      <c r="E4" s="8">
        <v>94.6389428402354</v>
      </c>
      <c r="F4" s="3">
        <f t="shared" si="1"/>
        <v>3.445977127</v>
      </c>
      <c r="G4" s="8">
        <v>1.34743213895694</v>
      </c>
      <c r="H4" s="8">
        <v>1.5421151224107</v>
      </c>
      <c r="I4" s="8">
        <v>0.604602468107161</v>
      </c>
      <c r="J4" s="8">
        <v>2.55744031377591</v>
      </c>
      <c r="K4" s="8">
        <v>62.9840886001892</v>
      </c>
      <c r="L4" s="8">
        <v>37.0159113998107</v>
      </c>
      <c r="M4" s="8">
        <v>3.43548907157131</v>
      </c>
      <c r="N4" s="9">
        <v>1.06966123268825E-6</v>
      </c>
      <c r="O4" s="8">
        <v>3.01047175353704E-4</v>
      </c>
      <c r="P4" s="8">
        <v>1.34682968297297</v>
      </c>
      <c r="Q4" s="9">
        <v>4.50743385372117E-7</v>
      </c>
      <c r="R4" s="8">
        <v>4.98484893698877E-4</v>
      </c>
      <c r="S4" s="8">
        <v>62.9851624869918</v>
      </c>
      <c r="T4" s="9">
        <v>6.51639402702684E-5</v>
      </c>
      <c r="U4" s="8">
        <v>1.28163811456503E-4</v>
      </c>
      <c r="V4" s="8">
        <v>86.8432001563164</v>
      </c>
      <c r="W4" s="8">
        <v>18.8057912950546</v>
      </c>
      <c r="X4" s="8">
        <v>67.4240279583334</v>
      </c>
      <c r="Y4" s="8">
        <v>5.60645648711705</v>
      </c>
      <c r="Z4" s="8">
        <v>4.36878462886958</v>
      </c>
      <c r="AA4" s="8">
        <v>2.05485504370551</v>
      </c>
      <c r="AB4" s="8">
        <v>2.22171205653034</v>
      </c>
      <c r="AC4" s="8">
        <v>2.39184051535456</v>
      </c>
      <c r="AD4" s="8">
        <v>2.54306687132933</v>
      </c>
      <c r="AE4" s="8">
        <v>2.03524450391119</v>
      </c>
      <c r="AF4" s="8">
        <v>2.03384678561323</v>
      </c>
      <c r="AG4" s="8">
        <v>3.68871864901309</v>
      </c>
      <c r="AH4" s="8">
        <v>4.03020530029961</v>
      </c>
      <c r="AI4" s="8">
        <v>0.431880950727357</v>
      </c>
      <c r="AJ4" s="8">
        <v>0.705277730733539</v>
      </c>
      <c r="AK4" s="8">
        <v>1.64502326597074</v>
      </c>
      <c r="AL4" s="8">
        <v>0.339885813073836</v>
      </c>
      <c r="AM4" s="8">
        <v>0.439446241775584</v>
      </c>
      <c r="AN4" s="8">
        <v>0.0</v>
      </c>
      <c r="AO4" s="8">
        <v>0.0</v>
      </c>
      <c r="AP4" s="8">
        <v>91.8386418011833</v>
      </c>
      <c r="AQ4" s="8">
        <v>48.4145919121899</v>
      </c>
      <c r="AR4" s="8">
        <v>68.7777557052528</v>
      </c>
      <c r="AS4" s="8">
        <v>20.9441650853712</v>
      </c>
      <c r="AT4" s="8">
        <v>1.43784921309147</v>
      </c>
      <c r="AU4" s="8">
        <v>0.0</v>
      </c>
      <c r="AV4" s="8">
        <v>0.0</v>
      </c>
      <c r="AW4" s="8">
        <v>12.2384722979963</v>
      </c>
      <c r="AX4" s="8">
        <v>26.6291042555743</v>
      </c>
      <c r="AY4" s="8">
        <v>7.96299103398952</v>
      </c>
      <c r="AZ4" s="8">
        <v>0.0</v>
      </c>
      <c r="BA4" s="8">
        <v>0.0</v>
      </c>
      <c r="BB4" s="8">
        <v>-0.758977415623715</v>
      </c>
      <c r="BC4" s="8">
        <v>1.58402432462978</v>
      </c>
      <c r="BD4" s="8">
        <v>63.7448623750711</v>
      </c>
      <c r="BE4" s="8">
        <v>8.89008276377519</v>
      </c>
      <c r="BF4" s="8">
        <v>0.0</v>
      </c>
      <c r="BG4" s="8">
        <v>0.0</v>
      </c>
      <c r="BH4" s="8">
        <v>0.0</v>
      </c>
      <c r="BI4" s="8">
        <v>0.0</v>
      </c>
      <c r="BJ4" s="8">
        <v>0.0</v>
      </c>
      <c r="BK4" s="8">
        <v>0.0</v>
      </c>
      <c r="BL4" s="8">
        <v>0.0</v>
      </c>
      <c r="BM4" s="8">
        <v>0.0</v>
      </c>
      <c r="BN4" s="8">
        <v>0.0</v>
      </c>
      <c r="BO4" s="8">
        <v>0.0</v>
      </c>
      <c r="BP4" s="8">
        <v>0.0</v>
      </c>
      <c r="BQ4" s="8">
        <v>0.0</v>
      </c>
      <c r="BR4" s="8">
        <v>0.0</v>
      </c>
      <c r="BS4" s="8">
        <v>0.0</v>
      </c>
      <c r="BT4" s="8">
        <v>-0.0164605297925018</v>
      </c>
      <c r="BU4" s="8">
        <v>0.66746979511768</v>
      </c>
      <c r="BV4" s="8">
        <v>6.43584023261787</v>
      </c>
      <c r="BW4" s="8">
        <v>11.3906550959862</v>
      </c>
      <c r="BX4" s="8">
        <v>0.0</v>
      </c>
      <c r="BY4" s="8">
        <v>0.0</v>
      </c>
      <c r="BZ4" s="8">
        <v>0.0</v>
      </c>
      <c r="CA4" s="8">
        <v>-0.145635113364983</v>
      </c>
      <c r="CB4" s="8">
        <v>4.68369902711</v>
      </c>
      <c r="CC4" s="8">
        <v>0.0</v>
      </c>
      <c r="CD4" s="8">
        <v>0.0</v>
      </c>
      <c r="CE4" s="8">
        <v>0.0</v>
      </c>
      <c r="CF4" s="8">
        <v>0.0</v>
      </c>
      <c r="CG4" s="8">
        <v>0.0</v>
      </c>
      <c r="CH4" s="8">
        <v>0.0</v>
      </c>
      <c r="CI4" s="8">
        <v>0.96583831328081</v>
      </c>
      <c r="CJ4" s="8">
        <v>1.45822415284052</v>
      </c>
      <c r="CK4" s="8">
        <v>0.96583831328081</v>
      </c>
      <c r="CL4" s="8">
        <v>2.70974790198478</v>
      </c>
      <c r="CM4" s="8">
        <v>0.0</v>
      </c>
      <c r="CN4" s="8">
        <v>-0.806345193372479</v>
      </c>
      <c r="CO4" s="8">
        <v>-0.0556294327936731</v>
      </c>
      <c r="CP4" s="8">
        <v>0.106220594465198</v>
      </c>
      <c r="CQ4" s="8">
        <v>0.0</v>
      </c>
      <c r="CR4" s="8">
        <v>0.0</v>
      </c>
      <c r="CS4" s="8">
        <v>0.0</v>
      </c>
      <c r="CT4" s="8">
        <v>94.6389428402354</v>
      </c>
      <c r="CU4" s="8">
        <v>-242.033447672752</v>
      </c>
      <c r="CV4" s="8">
        <v>-234.43212102141</v>
      </c>
      <c r="CW4" s="8">
        <v>45.347769780396</v>
      </c>
      <c r="CX4" s="8">
        <v>0.96859390003972</v>
      </c>
      <c r="CY4" s="8">
        <v>0.479166064407015</v>
      </c>
      <c r="CZ4" s="8">
        <v>3.45100701123227</v>
      </c>
      <c r="DA4" s="8">
        <v>1.1143124697914</v>
      </c>
      <c r="DB4" s="8">
        <v>10.41573536</v>
      </c>
      <c r="DC4" s="8">
        <v>1.162</v>
      </c>
      <c r="DD4" s="8">
        <v>100.0</v>
      </c>
      <c r="DE4" s="8">
        <v>21.995</v>
      </c>
      <c r="DF4" s="8">
        <v>3.16645666666666</v>
      </c>
      <c r="DG4" s="8">
        <v>22.1775175097276</v>
      </c>
      <c r="DH4" s="5"/>
      <c r="DI4" s="5"/>
    </row>
    <row r="5">
      <c r="A5" s="5" t="s">
        <v>128</v>
      </c>
      <c r="B5" s="6">
        <v>0.0</v>
      </c>
      <c r="C5" s="6">
        <v>13.0</v>
      </c>
      <c r="D5" s="6">
        <v>380.908909636113</v>
      </c>
      <c r="E5" s="8">
        <v>147.914246423217</v>
      </c>
      <c r="F5" s="3">
        <f t="shared" si="1"/>
        <v>3.476834339</v>
      </c>
      <c r="G5" s="8">
        <v>1.35012155549049</v>
      </c>
      <c r="H5" s="8">
        <v>1.55592419122671</v>
      </c>
      <c r="I5" s="8">
        <v>0.605809228601394</v>
      </c>
      <c r="J5" s="8">
        <v>2.57520096168588</v>
      </c>
      <c r="K5" s="8">
        <v>63.0412490761733</v>
      </c>
      <c r="L5" s="8">
        <v>36.9587509238266</v>
      </c>
      <c r="M5" s="8">
        <v>3.46024537941756</v>
      </c>
      <c r="N5" s="9">
        <v>1.91988888548285E-5</v>
      </c>
      <c r="O5" s="8">
        <v>0.001266284088624</v>
      </c>
      <c r="P5" s="8">
        <v>1.3484483340307</v>
      </c>
      <c r="Q5" s="9">
        <v>5.46934235313677E-6</v>
      </c>
      <c r="R5" s="8">
        <v>0.0017343360177113</v>
      </c>
      <c r="S5" s="8">
        <v>63.0726751619057</v>
      </c>
      <c r="T5" s="8">
        <v>3.30873362748711E-4</v>
      </c>
      <c r="U5" s="8">
        <v>2.8839627798566E-4</v>
      </c>
      <c r="V5" s="8">
        <v>136.714673055791</v>
      </c>
      <c r="W5" s="8">
        <v>29.4788721186633</v>
      </c>
      <c r="X5" s="8">
        <v>106.160387457952</v>
      </c>
      <c r="Y5" s="8">
        <v>8.81723852696386</v>
      </c>
      <c r="Z5" s="8">
        <v>6.85026425084546</v>
      </c>
      <c r="AA5" s="8">
        <v>3.2444829011676</v>
      </c>
      <c r="AB5" s="8">
        <v>3.50014848052168</v>
      </c>
      <c r="AC5" s="8">
        <v>3.65730865492678</v>
      </c>
      <c r="AD5" s="8">
        <v>4.00343847121087</v>
      </c>
      <c r="AE5" s="8">
        <v>3.19214902679028</v>
      </c>
      <c r="AF5" s="8">
        <v>3.20410661065306</v>
      </c>
      <c r="AG5" s="8">
        <v>5.81541903316534</v>
      </c>
      <c r="AH5" s="8">
        <v>6.33957928599464</v>
      </c>
      <c r="AI5" s="8">
        <v>0.686278536223487</v>
      </c>
      <c r="AJ5" s="8">
        <v>1.1162936161232</v>
      </c>
      <c r="AK5" s="8">
        <v>2.56994466150967</v>
      </c>
      <c r="AL5" s="8">
        <v>0.535525702773393</v>
      </c>
      <c r="AM5" s="8">
        <v>0.685560924468619</v>
      </c>
      <c r="AN5" s="8">
        <v>0.0</v>
      </c>
      <c r="AO5" s="8">
        <v>0.0</v>
      </c>
      <c r="AP5" s="8">
        <v>144.518043328884</v>
      </c>
      <c r="AQ5" s="8">
        <v>75.704390371836</v>
      </c>
      <c r="AR5" s="8">
        <v>108.34249067421</v>
      </c>
      <c r="AS5" s="8">
        <v>32.7670521491145</v>
      </c>
      <c r="AT5" s="8">
        <v>2.27898077273289</v>
      </c>
      <c r="AU5" s="8">
        <v>0.0</v>
      </c>
      <c r="AV5" s="8">
        <v>0.0</v>
      </c>
      <c r="AW5" s="8">
        <v>19.0579920693718</v>
      </c>
      <c r="AX5" s="8">
        <v>41.6677166163384</v>
      </c>
      <c r="AY5" s="8">
        <v>12.5105264990328</v>
      </c>
      <c r="AZ5" s="8">
        <v>0.0</v>
      </c>
      <c r="BA5" s="8">
        <v>0.0</v>
      </c>
      <c r="BB5" s="8">
        <v>-1.14946103990675</v>
      </c>
      <c r="BC5" s="8">
        <v>2.46815518709289</v>
      </c>
      <c r="BD5" s="8">
        <v>100.609800037885</v>
      </c>
      <c r="BE5" s="8">
        <v>13.8762066880568</v>
      </c>
      <c r="BF5" s="8">
        <v>0.0</v>
      </c>
      <c r="BG5" s="8">
        <v>0.0</v>
      </c>
      <c r="BH5" s="8">
        <v>0.0</v>
      </c>
      <c r="BI5" s="8">
        <v>0.0</v>
      </c>
      <c r="BJ5" s="8">
        <v>0.0</v>
      </c>
      <c r="BK5" s="8">
        <v>0.0</v>
      </c>
      <c r="BL5" s="8">
        <v>0.0</v>
      </c>
      <c r="BM5" s="8">
        <v>0.0</v>
      </c>
      <c r="BN5" s="8">
        <v>0.0</v>
      </c>
      <c r="BO5" s="8">
        <v>0.0</v>
      </c>
      <c r="BP5" s="8">
        <v>0.0</v>
      </c>
      <c r="BQ5" s="8">
        <v>0.0</v>
      </c>
      <c r="BR5" s="8">
        <v>0.0</v>
      </c>
      <c r="BS5" s="8">
        <v>0.0</v>
      </c>
      <c r="BT5" s="8">
        <v>-0.027101857318402</v>
      </c>
      <c r="BU5" s="8">
        <v>0.997422291376837</v>
      </c>
      <c r="BV5" s="8">
        <v>9.67867327331251</v>
      </c>
      <c r="BW5" s="8">
        <v>18.0500995197283</v>
      </c>
      <c r="BX5" s="8">
        <v>0.0</v>
      </c>
      <c r="BY5" s="8">
        <v>0.0</v>
      </c>
      <c r="BZ5" s="8">
        <v>0.0</v>
      </c>
      <c r="CA5" s="8">
        <v>-0.136337681959277</v>
      </c>
      <c r="CB5" s="8">
        <v>7.24423202058705</v>
      </c>
      <c r="CC5" s="8">
        <v>0.0</v>
      </c>
      <c r="CD5" s="8">
        <v>0.0</v>
      </c>
      <c r="CE5" s="8">
        <v>0.0</v>
      </c>
      <c r="CF5" s="8">
        <v>0.0</v>
      </c>
      <c r="CG5" s="8">
        <v>0.0</v>
      </c>
      <c r="CH5" s="8">
        <v>0.0</v>
      </c>
      <c r="CI5" s="8">
        <v>1.37585835910726</v>
      </c>
      <c r="CJ5" s="8">
        <v>2.29553780912469</v>
      </c>
      <c r="CK5" s="8">
        <v>1.37585835910726</v>
      </c>
      <c r="CL5" s="8">
        <v>4.15040094738679</v>
      </c>
      <c r="CM5" s="8">
        <v>0.0</v>
      </c>
      <c r="CN5" s="8">
        <v>-1.34712155909777</v>
      </c>
      <c r="CO5" s="8">
        <v>-0.0633000388324789</v>
      </c>
      <c r="CP5" s="8">
        <v>0.132263330870598</v>
      </c>
      <c r="CQ5" s="8">
        <v>0.0</v>
      </c>
      <c r="CR5" s="8">
        <v>0.0</v>
      </c>
      <c r="CS5" s="8">
        <v>0.0</v>
      </c>
      <c r="CT5" s="8">
        <v>147.914246423217</v>
      </c>
      <c r="CU5" s="8">
        <v>-380.908909636113</v>
      </c>
      <c r="CV5" s="8">
        <v>-368.522719736485</v>
      </c>
      <c r="CW5" s="8">
        <v>70.9338770299355</v>
      </c>
      <c r="CX5" s="8">
        <v>0.967482540874508</v>
      </c>
      <c r="CY5" s="8">
        <v>0.479560818144432</v>
      </c>
      <c r="CZ5" s="8">
        <v>3.45100701123227</v>
      </c>
      <c r="DA5" s="8">
        <v>1.1143124697914</v>
      </c>
      <c r="DB5" s="8">
        <v>13.00849352</v>
      </c>
      <c r="DC5" s="8">
        <v>1.162</v>
      </c>
      <c r="DD5" s="8">
        <v>100.0</v>
      </c>
      <c r="DE5" s="8">
        <v>37.37</v>
      </c>
      <c r="DF5" s="8">
        <v>6.24341222222221</v>
      </c>
      <c r="DG5" s="8">
        <v>22.4762839999999</v>
      </c>
      <c r="DH5" s="5"/>
      <c r="DI5" s="5"/>
    </row>
    <row r="6" hidden="1">
      <c r="A6" s="5" t="s">
        <v>130</v>
      </c>
      <c r="B6" s="6">
        <v>0.0</v>
      </c>
      <c r="C6" s="6">
        <v>18.0</v>
      </c>
      <c r="D6" s="6">
        <v>742.289754930264</v>
      </c>
      <c r="E6" s="8">
        <v>286.096586197103</v>
      </c>
      <c r="F6" s="3">
        <f t="shared" si="1"/>
        <v>3.497939272</v>
      </c>
      <c r="G6" s="8">
        <v>1.34819114244569</v>
      </c>
      <c r="H6" s="8">
        <v>1.5653687952213</v>
      </c>
      <c r="I6" s="8">
        <v>0.604943038418151</v>
      </c>
      <c r="J6" s="8">
        <v>2.59454251026564</v>
      </c>
      <c r="K6" s="8">
        <v>63.2749779557331</v>
      </c>
      <c r="L6" s="8">
        <v>36.7250220442668</v>
      </c>
      <c r="M6" s="8">
        <v>3.48685744868928</v>
      </c>
      <c r="N6" s="9">
        <v>2.8670149952316E-6</v>
      </c>
      <c r="O6" s="8">
        <v>4.85602360873912E-4</v>
      </c>
      <c r="P6" s="8">
        <v>1.34879275977179</v>
      </c>
      <c r="Q6" s="9">
        <v>3.52781217075408E-7</v>
      </c>
      <c r="R6" s="8">
        <v>4.40359632963566E-4</v>
      </c>
      <c r="S6" s="8">
        <v>63.2547343859453</v>
      </c>
      <c r="T6" s="8">
        <v>0.001146064181098</v>
      </c>
      <c r="U6" s="8">
        <v>5.35194243145513E-4</v>
      </c>
      <c r="V6" s="8">
        <v>267.481031186145</v>
      </c>
      <c r="W6" s="8">
        <v>57.4606584162173</v>
      </c>
      <c r="X6" s="8">
        <v>207.73205778926</v>
      </c>
      <c r="Y6" s="8">
        <v>17.2686061020937</v>
      </c>
      <c r="Z6" s="8">
        <v>13.2895792763911</v>
      </c>
      <c r="AA6" s="8">
        <v>6.40062949050058</v>
      </c>
      <c r="AB6" s="8">
        <v>6.85354057603396</v>
      </c>
      <c r="AC6" s="8">
        <v>6.88492066469076</v>
      </c>
      <c r="AD6" s="8">
        <v>7.85429569905097</v>
      </c>
      <c r="AE6" s="8">
        <v>6.20200121633548</v>
      </c>
      <c r="AF6" s="8">
        <v>6.3017639379293</v>
      </c>
      <c r="AG6" s="8">
        <v>11.4250393544646</v>
      </c>
      <c r="AH6" s="8">
        <v>12.3680955262204</v>
      </c>
      <c r="AI6" s="8">
        <v>1.36618977329163</v>
      </c>
      <c r="AJ6" s="8">
        <v>2.20233265235353</v>
      </c>
      <c r="AK6" s="8">
        <v>4.97771401889761</v>
      </c>
      <c r="AL6" s="8">
        <v>1.05815808376279</v>
      </c>
      <c r="AM6" s="8">
        <v>1.33172608662108</v>
      </c>
      <c r="AN6" s="8">
        <v>0.0</v>
      </c>
      <c r="AO6" s="8">
        <v>0.0</v>
      </c>
      <c r="AP6" s="8">
        <v>281.901466992747</v>
      </c>
      <c r="AQ6" s="8">
        <v>147.358903155701</v>
      </c>
      <c r="AR6" s="8">
        <v>211.247508871548</v>
      </c>
      <c r="AS6" s="8">
        <v>63.7630602975952</v>
      </c>
      <c r="AT6" s="8">
        <v>4.52124624264625</v>
      </c>
      <c r="AU6" s="8">
        <v>0.0</v>
      </c>
      <c r="AV6" s="8">
        <v>0.0</v>
      </c>
      <c r="AW6" s="8">
        <v>36.7874629692658</v>
      </c>
      <c r="AX6" s="8">
        <v>81.1909767738315</v>
      </c>
      <c r="AY6" s="8">
        <v>24.5819420509264</v>
      </c>
      <c r="AZ6" s="8">
        <v>0.0</v>
      </c>
      <c r="BA6" s="8">
        <v>0.0</v>
      </c>
      <c r="BB6" s="8">
        <v>-2.15159466168804</v>
      </c>
      <c r="BC6" s="8">
        <v>4.79852136167765</v>
      </c>
      <c r="BD6" s="8">
        <v>195.910167781681</v>
      </c>
      <c r="BE6" s="8">
        <v>26.6800390428607</v>
      </c>
      <c r="BF6" s="8">
        <v>0.0</v>
      </c>
      <c r="BG6" s="8">
        <v>0.0</v>
      </c>
      <c r="BH6" s="8">
        <v>0.0</v>
      </c>
      <c r="BI6" s="8">
        <v>0.0</v>
      </c>
      <c r="BJ6" s="8">
        <v>0.0</v>
      </c>
      <c r="BK6" s="8">
        <v>0.0</v>
      </c>
      <c r="BL6" s="8">
        <v>0.0</v>
      </c>
      <c r="BM6" s="8">
        <v>0.0</v>
      </c>
      <c r="BN6" s="8">
        <v>0.0</v>
      </c>
      <c r="BO6" s="8">
        <v>0.0</v>
      </c>
      <c r="BP6" s="8">
        <v>0.0</v>
      </c>
      <c r="BQ6" s="8">
        <v>0.0</v>
      </c>
      <c r="BR6" s="8">
        <v>0.0</v>
      </c>
      <c r="BS6" s="8">
        <v>0.0</v>
      </c>
      <c r="BT6" s="8">
        <v>-0.0500501095335507</v>
      </c>
      <c r="BU6" s="8">
        <v>1.76537622760686</v>
      </c>
      <c r="BV6" s="8">
        <v>17.3605895808002</v>
      </c>
      <c r="BW6" s="8">
        <v>34.7089223906011</v>
      </c>
      <c r="BX6" s="8">
        <v>0.0</v>
      </c>
      <c r="BY6" s="8">
        <v>0.0</v>
      </c>
      <c r="BZ6" s="8">
        <v>0.0</v>
      </c>
      <c r="CA6" s="8">
        <v>-0.0507745944037792</v>
      </c>
      <c r="CB6" s="8">
        <v>13.6668605514445</v>
      </c>
      <c r="CC6" s="8">
        <v>0.0</v>
      </c>
      <c r="CD6" s="8">
        <v>0.0</v>
      </c>
      <c r="CE6" s="8">
        <v>0.0</v>
      </c>
      <c r="CF6" s="8">
        <v>0.0</v>
      </c>
      <c r="CG6" s="8">
        <v>0.0</v>
      </c>
      <c r="CH6" s="8">
        <v>0.0</v>
      </c>
      <c r="CI6" s="8">
        <v>2.5544764542818</v>
      </c>
      <c r="CJ6" s="8">
        <v>4.43376241661433</v>
      </c>
      <c r="CK6" s="8">
        <v>2.5544764542818</v>
      </c>
      <c r="CL6" s="8">
        <v>7.75974615362868</v>
      </c>
      <c r="CM6" s="8">
        <v>0.0</v>
      </c>
      <c r="CN6" s="8">
        <v>-2.68633209289973</v>
      </c>
      <c r="CO6" s="8">
        <v>-0.0557471755045304</v>
      </c>
      <c r="CP6" s="8">
        <v>0.182245883939054</v>
      </c>
      <c r="CQ6" s="8">
        <v>0.0</v>
      </c>
      <c r="CR6" s="8">
        <v>0.0</v>
      </c>
      <c r="CS6" s="8">
        <v>0.0</v>
      </c>
      <c r="CT6" s="8">
        <v>286.096586197103</v>
      </c>
      <c r="CU6" s="8">
        <v>-742.289754930264</v>
      </c>
      <c r="CV6" s="8">
        <v>-714.779159905935</v>
      </c>
      <c r="CW6" s="8">
        <v>138.032018119159</v>
      </c>
      <c r="CX6" s="8">
        <v>0.962938199211824</v>
      </c>
      <c r="CY6" s="8">
        <v>0.482466498303702</v>
      </c>
      <c r="CZ6" s="8">
        <v>3.45100701123227</v>
      </c>
      <c r="DA6" s="8">
        <v>1.1143124697914</v>
      </c>
      <c r="DB6" s="8">
        <v>18.10460438</v>
      </c>
      <c r="DC6" s="8">
        <v>1.162</v>
      </c>
      <c r="DD6" s="8">
        <v>100.0</v>
      </c>
      <c r="DE6" s="8">
        <v>72.54</v>
      </c>
      <c r="DF6" s="8">
        <v>7.12640388888889</v>
      </c>
      <c r="DG6" s="8">
        <v>63.9776907730673</v>
      </c>
      <c r="DH6" s="5"/>
      <c r="DI6" s="5"/>
      <c r="DJ6" s="12"/>
      <c r="DK6" s="12"/>
      <c r="DL6" s="12"/>
      <c r="DM6" s="12"/>
      <c r="DN6" s="12"/>
      <c r="DO6" s="12"/>
      <c r="DP6" s="12"/>
    </row>
    <row r="7">
      <c r="A7" s="5" t="s">
        <v>132</v>
      </c>
      <c r="B7" s="6">
        <v>0.0</v>
      </c>
      <c r="C7" s="6">
        <v>20.0</v>
      </c>
      <c r="D7" s="6">
        <v>967.953000854187</v>
      </c>
      <c r="E7" s="8">
        <v>372.381063128514</v>
      </c>
      <c r="F7" s="3">
        <f t="shared" si="1"/>
        <v>3.490126222</v>
      </c>
      <c r="G7" s="8">
        <v>1.34268600044621</v>
      </c>
      <c r="H7" s="8">
        <v>1.56187239380871</v>
      </c>
      <c r="I7" s="8">
        <v>0.602472841705502</v>
      </c>
      <c r="J7" s="8">
        <v>2.59936150544833</v>
      </c>
      <c r="K7" s="8">
        <v>63.334096494907</v>
      </c>
      <c r="L7" s="8">
        <v>36.6659035050929</v>
      </c>
      <c r="M7" s="8">
        <v>3.47950990171902</v>
      </c>
      <c r="N7" s="9">
        <v>1.4796122275579E-5</v>
      </c>
      <c r="O7" s="8">
        <v>0.001105492700045</v>
      </c>
      <c r="P7" s="8">
        <v>1.34373835957041</v>
      </c>
      <c r="Q7" s="9">
        <v>1.24951821586532E-6</v>
      </c>
      <c r="R7" s="8">
        <v>8.31872142079091E-4</v>
      </c>
      <c r="S7" s="8">
        <v>63.294769447242</v>
      </c>
      <c r="T7" s="8">
        <v>5.72451602566212E-4</v>
      </c>
      <c r="U7" s="8">
        <v>3.78008499886014E-4</v>
      </c>
      <c r="V7" s="8">
        <v>349.920998707692</v>
      </c>
      <c r="W7" s="8">
        <v>75.0036995133481</v>
      </c>
      <c r="X7" s="8">
        <v>271.840729281551</v>
      </c>
      <c r="Y7" s="8">
        <v>22.591616834638</v>
      </c>
      <c r="Z7" s="8">
        <v>17.2693299377488</v>
      </c>
      <c r="AA7" s="8">
        <v>8.38950963791802</v>
      </c>
      <c r="AB7" s="8">
        <v>8.9546805633147</v>
      </c>
      <c r="AC7" s="8">
        <v>8.86269217670811</v>
      </c>
      <c r="AD7" s="8">
        <v>10.2838232576929</v>
      </c>
      <c r="AE7" s="8">
        <v>8.06042095332246</v>
      </c>
      <c r="AF7" s="8">
        <v>8.25471553657194</v>
      </c>
      <c r="AG7" s="8">
        <v>14.9613558234795</v>
      </c>
      <c r="AH7" s="8">
        <v>16.1895885521388</v>
      </c>
      <c r="AI7" s="8">
        <v>1.79985788567938</v>
      </c>
      <c r="AJ7" s="8">
        <v>2.88568601470244</v>
      </c>
      <c r="AK7" s="8">
        <v>6.49259212915634</v>
      </c>
      <c r="AL7" s="8">
        <v>1.39082075710221</v>
      </c>
      <c r="AM7" s="8">
        <v>1.73592305583491</v>
      </c>
      <c r="AN7" s="8">
        <v>0.0</v>
      </c>
      <c r="AO7" s="8">
        <v>0.0</v>
      </c>
      <c r="AP7" s="8">
        <v>369.188023227867</v>
      </c>
      <c r="AQ7" s="8">
        <v>190.618358178394</v>
      </c>
      <c r="AR7" s="8">
        <v>277.476103617755</v>
      </c>
      <c r="AS7" s="8">
        <v>82.706533889124</v>
      </c>
      <c r="AT7" s="8">
        <v>5.91360825836281</v>
      </c>
      <c r="AU7" s="8">
        <v>0.0</v>
      </c>
      <c r="AV7" s="8">
        <v>0.0</v>
      </c>
      <c r="AW7" s="8">
        <v>46.8390760448826</v>
      </c>
      <c r="AX7" s="8">
        <v>105.307100258544</v>
      </c>
      <c r="AY7" s="8">
        <v>32.320657750444</v>
      </c>
      <c r="AZ7" s="8">
        <v>0.0</v>
      </c>
      <c r="BA7" s="8">
        <v>0.0</v>
      </c>
      <c r="BB7" s="8">
        <v>-2.82183079573786</v>
      </c>
      <c r="BC7" s="8">
        <v>6.15152412452358</v>
      </c>
      <c r="BD7" s="8">
        <v>256.28078032724</v>
      </c>
      <c r="BE7" s="8">
        <v>34.5281869596538</v>
      </c>
      <c r="BF7" s="8">
        <v>0.0</v>
      </c>
      <c r="BG7" s="8">
        <v>0.0</v>
      </c>
      <c r="BH7" s="8">
        <v>0.0</v>
      </c>
      <c r="BI7" s="8">
        <v>0.0</v>
      </c>
      <c r="BJ7" s="8">
        <v>0.0</v>
      </c>
      <c r="BK7" s="8">
        <v>0.0</v>
      </c>
      <c r="BL7" s="8">
        <v>0.0</v>
      </c>
      <c r="BM7" s="8">
        <v>0.0</v>
      </c>
      <c r="BN7" s="8">
        <v>0.0</v>
      </c>
      <c r="BO7" s="8">
        <v>0.0</v>
      </c>
      <c r="BP7" s="8">
        <v>0.0</v>
      </c>
      <c r="BQ7" s="8">
        <v>0.0</v>
      </c>
      <c r="BR7" s="8">
        <v>0.0</v>
      </c>
      <c r="BS7" s="8">
        <v>0.0</v>
      </c>
      <c r="BT7" s="8">
        <v>-0.0841163781762148</v>
      </c>
      <c r="BU7" s="8">
        <v>2.29684960643464</v>
      </c>
      <c r="BV7" s="8">
        <v>19.1488525596624</v>
      </c>
      <c r="BW7" s="8">
        <v>45.4164806101514</v>
      </c>
      <c r="BX7" s="8">
        <v>0.0</v>
      </c>
      <c r="BY7" s="8">
        <v>0.0</v>
      </c>
      <c r="BZ7" s="8">
        <v>0.0</v>
      </c>
      <c r="CA7" s="8">
        <v>0.0208171935263515</v>
      </c>
      <c r="CB7" s="8">
        <v>18.4563089678408</v>
      </c>
      <c r="CC7" s="8">
        <v>0.0</v>
      </c>
      <c r="CD7" s="8">
        <v>0.0</v>
      </c>
      <c r="CE7" s="8">
        <v>0.0</v>
      </c>
      <c r="CF7" s="8">
        <v>0.0</v>
      </c>
      <c r="CG7" s="8">
        <v>0.0</v>
      </c>
      <c r="CH7" s="8">
        <v>0.0</v>
      </c>
      <c r="CI7" s="8">
        <v>3.19498853069861</v>
      </c>
      <c r="CJ7" s="8">
        <v>6.01412135734815</v>
      </c>
      <c r="CK7" s="8">
        <v>3.19498853069861</v>
      </c>
      <c r="CL7" s="8">
        <v>10.3500693041175</v>
      </c>
      <c r="CM7" s="8">
        <v>0.0</v>
      </c>
      <c r="CN7" s="8">
        <v>-3.04231835359676</v>
      </c>
      <c r="CO7" s="8">
        <v>0.0271136446942454</v>
      </c>
      <c r="CP7" s="8">
        <v>0.205441479945336</v>
      </c>
      <c r="CQ7" s="8">
        <v>0.0</v>
      </c>
      <c r="CR7" s="8">
        <v>0.0</v>
      </c>
      <c r="CS7" s="8">
        <v>0.0</v>
      </c>
      <c r="CT7" s="8">
        <v>372.381063128514</v>
      </c>
      <c r="CU7" s="8">
        <v>-967.953000854187</v>
      </c>
      <c r="CV7" s="8">
        <v>-930.966325948706</v>
      </c>
      <c r="CW7" s="8">
        <v>179.49514178403</v>
      </c>
      <c r="CX7" s="8">
        <v>0.96178876983403</v>
      </c>
      <c r="CY7" s="8">
        <v>0.482020058367157</v>
      </c>
      <c r="CZ7" s="8">
        <v>3.45100701123227</v>
      </c>
      <c r="DA7" s="8">
        <v>1.1143124697914</v>
      </c>
      <c r="DB7" s="8">
        <v>20.69736254</v>
      </c>
      <c r="DC7" s="8">
        <v>1.162</v>
      </c>
      <c r="DD7" s="8">
        <v>100.0</v>
      </c>
      <c r="DE7" s="8">
        <v>40.878</v>
      </c>
      <c r="DF7" s="8">
        <v>9.62194749999998</v>
      </c>
      <c r="DG7" s="8">
        <v>56.7852639344261</v>
      </c>
      <c r="DH7" s="5"/>
      <c r="DI7" s="5"/>
    </row>
    <row r="9">
      <c r="A9" s="14" t="s">
        <v>117</v>
      </c>
      <c r="B9" s="14">
        <v>-2.0</v>
      </c>
      <c r="C9" s="14">
        <v>10.0</v>
      </c>
      <c r="D9" s="14">
        <v>239.44479014711</v>
      </c>
      <c r="E9" s="14">
        <v>93.2048649556719</v>
      </c>
      <c r="F9" s="3">
        <f t="shared" ref="F9:F11" si="2">D9/(0.5*DC9*DA9*(DB9^2))</f>
        <v>3.410929396</v>
      </c>
      <c r="G9" s="14">
        <v>1.32771825068467</v>
      </c>
      <c r="H9" s="14">
        <v>1.52643085239443</v>
      </c>
      <c r="I9" s="14">
        <v>0.596072757296949</v>
      </c>
      <c r="J9" s="14">
        <v>2.56901600856338</v>
      </c>
      <c r="K9" s="14">
        <v>63.4140314124158</v>
      </c>
      <c r="L9" s="14">
        <v>36.5859685875841</v>
      </c>
      <c r="M9" s="14">
        <v>3.40237856243053</v>
      </c>
      <c r="N9" s="15">
        <v>2.0304961252881E-5</v>
      </c>
      <c r="O9" s="14">
        <v>0.0013243977955807</v>
      </c>
      <c r="P9" s="14">
        <v>1.32925047890941</v>
      </c>
      <c r="Q9" s="15">
        <v>8.11682759217976E-6</v>
      </c>
      <c r="R9" s="14">
        <v>0.0021433166375579</v>
      </c>
      <c r="S9" s="14">
        <v>63.4054971076272</v>
      </c>
      <c r="T9" s="14">
        <v>0.0049327329482171</v>
      </c>
      <c r="U9" s="14">
        <v>0.0011076865698872</v>
      </c>
      <c r="V9" s="14">
        <v>87.1456554939996</v>
      </c>
      <c r="W9" s="14">
        <v>18.9798956369322</v>
      </c>
      <c r="X9" s="14">
        <v>67.7834839531517</v>
      </c>
      <c r="Y9" s="14">
        <v>5.58726199438106</v>
      </c>
      <c r="Z9" s="14">
        <v>4.33289753565643</v>
      </c>
      <c r="AA9" s="14">
        <v>2.03667905444212</v>
      </c>
      <c r="AB9" s="14">
        <v>2.22376655078011</v>
      </c>
      <c r="AC9" s="14">
        <v>2.64114555675972</v>
      </c>
      <c r="AD9" s="14">
        <v>2.53291426942156</v>
      </c>
      <c r="AE9" s="14">
        <v>2.02642720654752</v>
      </c>
      <c r="AF9" s="14">
        <v>2.01904414836519</v>
      </c>
      <c r="AG9" s="14">
        <v>3.69187046943222</v>
      </c>
      <c r="AH9" s="14">
        <v>4.04197476713959</v>
      </c>
      <c r="AI9" s="14">
        <v>0.433430219072785</v>
      </c>
      <c r="AJ9" s="14">
        <v>0.706161419375809</v>
      </c>
      <c r="AK9" s="14">
        <v>1.61812688433942</v>
      </c>
      <c r="AL9" s="14">
        <v>0.328342572958938</v>
      </c>
      <c r="AM9" s="14">
        <v>0.43015405967539</v>
      </c>
      <c r="AN9" s="14">
        <v>0.0</v>
      </c>
      <c r="AO9" s="14">
        <v>0.0</v>
      </c>
      <c r="AP9" s="14">
        <v>90.6510775876108</v>
      </c>
      <c r="AQ9" s="14">
        <v>47.2195602821343</v>
      </c>
      <c r="AR9" s="14">
        <v>68.0262633347578</v>
      </c>
      <c r="AS9" s="14">
        <v>20.4948547397414</v>
      </c>
      <c r="AT9" s="14">
        <v>1.45645905106979</v>
      </c>
      <c r="AU9" s="14">
        <v>0.0</v>
      </c>
      <c r="AV9" s="14">
        <v>0.0</v>
      </c>
      <c r="AW9" s="14">
        <v>11.8175311655634</v>
      </c>
      <c r="AX9" s="14">
        <v>25.9765361105004</v>
      </c>
      <c r="AY9" s="14">
        <v>8.03141046120394</v>
      </c>
      <c r="AZ9" s="14">
        <v>0.0</v>
      </c>
      <c r="BA9" s="14">
        <v>0.0</v>
      </c>
      <c r="BB9" s="14">
        <v>-0.782958589027956</v>
      </c>
      <c r="BC9" s="14">
        <v>1.39408254486649</v>
      </c>
      <c r="BD9" s="14">
        <v>62.4599501049469</v>
      </c>
      <c r="BE9" s="14">
        <v>8.74092975016606</v>
      </c>
      <c r="BF9" s="14">
        <v>0.0</v>
      </c>
      <c r="BG9" s="14">
        <v>0.0</v>
      </c>
      <c r="BH9" s="14">
        <v>0.0</v>
      </c>
      <c r="BI9" s="14">
        <v>0.0</v>
      </c>
      <c r="BJ9" s="14">
        <v>0.0</v>
      </c>
      <c r="BK9" s="14">
        <v>0.0</v>
      </c>
      <c r="BL9" s="14">
        <v>0.0</v>
      </c>
      <c r="BM9" s="14">
        <v>0.0</v>
      </c>
      <c r="BN9" s="14">
        <v>0.0</v>
      </c>
      <c r="BO9" s="14">
        <v>0.0</v>
      </c>
      <c r="BP9" s="14">
        <v>0.0</v>
      </c>
      <c r="BQ9" s="14">
        <v>0.0</v>
      </c>
      <c r="BR9" s="14">
        <v>0.0</v>
      </c>
      <c r="BS9" s="14">
        <v>0.0</v>
      </c>
      <c r="BT9" s="14">
        <v>-0.0352804027733699</v>
      </c>
      <c r="BU9" s="14">
        <v>0.655228027943554</v>
      </c>
      <c r="BV9" s="14">
        <v>6.00231640702778</v>
      </c>
      <c r="BW9" s="14">
        <v>10.9958077953915</v>
      </c>
      <c r="BX9" s="14">
        <v>0.0</v>
      </c>
      <c r="BY9" s="14">
        <v>0.0</v>
      </c>
      <c r="BZ9" s="14">
        <v>0.0</v>
      </c>
      <c r="CA9" s="14">
        <v>-0.140084545874752</v>
      </c>
      <c r="CB9" s="14">
        <v>4.64827349779033</v>
      </c>
      <c r="CC9" s="14">
        <v>0.0</v>
      </c>
      <c r="CD9" s="14">
        <v>0.0</v>
      </c>
      <c r="CE9" s="14">
        <v>0.0</v>
      </c>
      <c r="CF9" s="14">
        <v>0.0</v>
      </c>
      <c r="CG9" s="14">
        <v>0.0</v>
      </c>
      <c r="CH9" s="14">
        <v>0.0</v>
      </c>
      <c r="CI9" s="14">
        <v>0.957922201045591</v>
      </c>
      <c r="CJ9" s="14">
        <v>1.68163685979736</v>
      </c>
      <c r="CK9" s="14">
        <v>0.957922201045591</v>
      </c>
      <c r="CL9" s="14">
        <v>2.67634583087173</v>
      </c>
      <c r="CM9" s="14">
        <v>0.0</v>
      </c>
      <c r="CN9" s="14">
        <v>-0.653421001587356</v>
      </c>
      <c r="CO9" s="14">
        <v>-0.0698809561142404</v>
      </c>
      <c r="CP9" s="14">
        <v>0.107779139109775</v>
      </c>
      <c r="CQ9" s="14">
        <v>0.0</v>
      </c>
      <c r="CR9" s="14">
        <v>0.0</v>
      </c>
      <c r="CS9" s="14">
        <v>0.0</v>
      </c>
      <c r="CT9" s="14">
        <v>93.2048649556719</v>
      </c>
      <c r="CU9" s="14">
        <v>-239.44479014711</v>
      </c>
      <c r="CV9" s="14">
        <v>-229.92308121942</v>
      </c>
      <c r="CW9" s="14">
        <v>44.3639633287419</v>
      </c>
      <c r="CX9" s="14">
        <v>0.960234219663583</v>
      </c>
      <c r="CY9" s="14">
        <v>0.475983344322652</v>
      </c>
      <c r="CZ9" s="14">
        <v>3.45165896522546</v>
      </c>
      <c r="DA9" s="14">
        <v>1.11372163417228</v>
      </c>
      <c r="DB9" s="14">
        <v>10.41573536</v>
      </c>
      <c r="DC9" s="14">
        <v>1.162</v>
      </c>
      <c r="DD9" s="14">
        <v>100.0</v>
      </c>
      <c r="DE9" s="14">
        <v>472.563</v>
      </c>
      <c r="DF9" s="14">
        <v>107.933936666666</v>
      </c>
      <c r="DG9" s="14">
        <v>485.702714999999</v>
      </c>
      <c r="DH9" s="16"/>
      <c r="DI9" s="16"/>
    </row>
    <row r="10">
      <c r="A10" s="14" t="s">
        <v>127</v>
      </c>
      <c r="B10" s="14">
        <v>-4.0</v>
      </c>
      <c r="C10" s="14">
        <v>10.0</v>
      </c>
      <c r="D10" s="14">
        <v>235.033865623297</v>
      </c>
      <c r="E10" s="14">
        <v>91.6505686873178</v>
      </c>
      <c r="F10" s="3">
        <f t="shared" si="2"/>
        <v>3.346445034</v>
      </c>
      <c r="G10" s="14">
        <v>1.30493360133231</v>
      </c>
      <c r="H10" s="14">
        <v>1.49757334521932</v>
      </c>
      <c r="I10" s="14">
        <v>0.585554977712853</v>
      </c>
      <c r="J10" s="14">
        <v>2.56445616202511</v>
      </c>
      <c r="K10" s="14">
        <v>63.7857161481022</v>
      </c>
      <c r="L10" s="14">
        <v>36.2142838518977</v>
      </c>
      <c r="M10" s="14">
        <v>3.33603926303754</v>
      </c>
      <c r="N10" s="15">
        <v>1.30988352260027E-6</v>
      </c>
      <c r="O10" s="14">
        <v>3.4307193035385E-4</v>
      </c>
      <c r="P10" s="14">
        <v>1.3045980455985</v>
      </c>
      <c r="Q10" s="15">
        <v>1.43412680101767E-8</v>
      </c>
      <c r="R10" s="15">
        <v>9.17945828170344E-5</v>
      </c>
      <c r="S10" s="14">
        <v>63.7771737185601</v>
      </c>
      <c r="T10" s="15">
        <v>5.90261818632375E-5</v>
      </c>
      <c r="U10" s="14">
        <v>1.20463943524222E-4</v>
      </c>
      <c r="V10" s="14">
        <v>86.3483609336589</v>
      </c>
      <c r="W10" s="14">
        <v>18.8335127458336</v>
      </c>
      <c r="X10" s="14">
        <v>67.1638946836873</v>
      </c>
      <c r="Y10" s="14">
        <v>5.54812314488495</v>
      </c>
      <c r="Z10" s="14">
        <v>4.27047038377754</v>
      </c>
      <c r="AA10" s="14">
        <v>2.049897298926</v>
      </c>
      <c r="AB10" s="14">
        <v>2.16706872363978</v>
      </c>
      <c r="AC10" s="14">
        <v>2.64126706524528</v>
      </c>
      <c r="AD10" s="14">
        <v>2.4938514947287</v>
      </c>
      <c r="AE10" s="14">
        <v>1.99144036788228</v>
      </c>
      <c r="AF10" s="14">
        <v>2.02259218361538</v>
      </c>
      <c r="AG10" s="14">
        <v>3.63281875471567</v>
      </c>
      <c r="AH10" s="14">
        <v>3.9837508391736</v>
      </c>
      <c r="AI10" s="14">
        <v>0.43602397181317</v>
      </c>
      <c r="AJ10" s="14">
        <v>0.72913188775657</v>
      </c>
      <c r="AK10" s="14">
        <v>1.624021994273</v>
      </c>
      <c r="AL10" s="14">
        <v>0.337066022279733</v>
      </c>
      <c r="AM10" s="14">
        <v>0.457636108377943</v>
      </c>
      <c r="AN10" s="14">
        <v>0.0</v>
      </c>
      <c r="AO10" s="14">
        <v>0.0</v>
      </c>
      <c r="AP10" s="14">
        <v>88.5014238526488</v>
      </c>
      <c r="AQ10" s="14">
        <v>45.8876870441997</v>
      </c>
      <c r="AR10" s="14">
        <v>66.6921560492895</v>
      </c>
      <c r="AS10" s="14">
        <v>19.807232075086</v>
      </c>
      <c r="AT10" s="14">
        <v>1.40154388887993</v>
      </c>
      <c r="AU10" s="14">
        <v>0.0</v>
      </c>
      <c r="AV10" s="14">
        <v>0.0</v>
      </c>
      <c r="AW10" s="14">
        <v>11.5321489161026</v>
      </c>
      <c r="AX10" s="14">
        <v>25.1757849763395</v>
      </c>
      <c r="AY10" s="14">
        <v>7.86880463700847</v>
      </c>
      <c r="AZ10" s="14">
        <v>0.0</v>
      </c>
      <c r="BA10" s="14">
        <v>0.0</v>
      </c>
      <c r="BB10" s="14">
        <v>-0.801052049486487</v>
      </c>
      <c r="BC10" s="14">
        <v>1.31094851474911</v>
      </c>
      <c r="BD10" s="14">
        <v>61.1501217996371</v>
      </c>
      <c r="BE10" s="14">
        <v>8.37463463820456</v>
      </c>
      <c r="BF10" s="14">
        <v>0.0</v>
      </c>
      <c r="BG10" s="14">
        <v>0.0</v>
      </c>
      <c r="BH10" s="14">
        <v>0.0</v>
      </c>
      <c r="BI10" s="14">
        <v>0.0</v>
      </c>
      <c r="BJ10" s="14">
        <v>0.0</v>
      </c>
      <c r="BK10" s="14">
        <v>0.0</v>
      </c>
      <c r="BL10" s="14">
        <v>0.0</v>
      </c>
      <c r="BM10" s="14">
        <v>0.0</v>
      </c>
      <c r="BN10" s="14">
        <v>0.0</v>
      </c>
      <c r="BO10" s="14">
        <v>0.0</v>
      </c>
      <c r="BP10" s="14">
        <v>0.0</v>
      </c>
      <c r="BQ10" s="14">
        <v>0.0</v>
      </c>
      <c r="BR10" s="14">
        <v>0.0</v>
      </c>
      <c r="BS10" s="14">
        <v>0.0</v>
      </c>
      <c r="BT10" s="14">
        <v>-0.0058995500232295</v>
      </c>
      <c r="BU10" s="14">
        <v>0.623134515403397</v>
      </c>
      <c r="BV10" s="14">
        <v>6.05797681398637</v>
      </c>
      <c r="BW10" s="14">
        <v>10.997760646307</v>
      </c>
      <c r="BX10" s="14">
        <v>0.0</v>
      </c>
      <c r="BY10" s="14">
        <v>0.0</v>
      </c>
      <c r="BZ10" s="14">
        <v>0.0</v>
      </c>
      <c r="CA10" s="14">
        <v>-0.193688789908695</v>
      </c>
      <c r="CB10" s="14">
        <v>4.59264934481596</v>
      </c>
      <c r="CC10" s="14">
        <v>0.0</v>
      </c>
      <c r="CD10" s="14">
        <v>0.0</v>
      </c>
      <c r="CE10" s="14">
        <v>0.0</v>
      </c>
      <c r="CF10" s="14">
        <v>0.0</v>
      </c>
      <c r="CG10" s="14">
        <v>0.0</v>
      </c>
      <c r="CH10" s="14">
        <v>0.0</v>
      </c>
      <c r="CI10" s="14">
        <v>1.04855714516231</v>
      </c>
      <c r="CJ10" s="14">
        <v>1.98619134927809</v>
      </c>
      <c r="CK10" s="14">
        <v>1.04855714516231</v>
      </c>
      <c r="CL10" s="14">
        <v>2.60476160825977</v>
      </c>
      <c r="CM10" s="14">
        <v>0.0</v>
      </c>
      <c r="CN10" s="14">
        <v>-0.36458363282622</v>
      </c>
      <c r="CO10" s="14">
        <v>-0.0811059488760908</v>
      </c>
      <c r="CP10" s="14">
        <v>0.110932370646559</v>
      </c>
      <c r="CQ10" s="14">
        <v>0.0</v>
      </c>
      <c r="CR10" s="14">
        <v>0.0</v>
      </c>
      <c r="CS10" s="14">
        <v>0.0</v>
      </c>
      <c r="CT10" s="14">
        <v>91.6505686873178</v>
      </c>
      <c r="CU10" s="14">
        <v>-235.033865623297</v>
      </c>
      <c r="CV10" s="14">
        <v>-223.9890618337</v>
      </c>
      <c r="CW10" s="14">
        <v>43.2291434191977</v>
      </c>
      <c r="CX10" s="14">
        <v>0.953007606966311</v>
      </c>
      <c r="CY10" s="14">
        <v>0.471673488101112</v>
      </c>
      <c r="CZ10" s="14">
        <v>3.45165548954137</v>
      </c>
      <c r="DA10" s="14">
        <v>1.11427077815077</v>
      </c>
      <c r="DB10" s="14">
        <v>10.41573536</v>
      </c>
      <c r="DC10" s="14">
        <v>1.162</v>
      </c>
      <c r="DD10" s="14">
        <v>100.0</v>
      </c>
      <c r="DE10" s="14">
        <v>25.32</v>
      </c>
      <c r="DF10" s="14">
        <v>4.16485833333333</v>
      </c>
      <c r="DG10" s="14">
        <v>25.1568624161074</v>
      </c>
      <c r="DH10" s="16"/>
      <c r="DI10" s="16"/>
    </row>
    <row r="11">
      <c r="A11" s="14" t="s">
        <v>133</v>
      </c>
      <c r="B11" s="14">
        <v>-6.0</v>
      </c>
      <c r="C11" s="14">
        <v>10.0</v>
      </c>
      <c r="D11" s="14">
        <v>242.032008693434</v>
      </c>
      <c r="E11" s="14">
        <v>94.5959331422965</v>
      </c>
      <c r="F11" s="3">
        <f t="shared" si="2"/>
        <v>3.445961579</v>
      </c>
      <c r="G11" s="14">
        <v>1.34682168562023</v>
      </c>
      <c r="H11" s="14">
        <v>1.54210816484979</v>
      </c>
      <c r="I11" s="14">
        <v>0.604329419730309</v>
      </c>
      <c r="J11" s="14">
        <v>2.5585878869587</v>
      </c>
      <c r="K11" s="14">
        <v>62.9741732870993</v>
      </c>
      <c r="L11" s="14">
        <v>37.0258267129006</v>
      </c>
      <c r="M11" s="14">
        <v>3.4346250863873</v>
      </c>
      <c r="N11" s="15">
        <v>9.27468962087064E-7</v>
      </c>
      <c r="O11" s="14">
        <v>2.80395057909969E-4</v>
      </c>
      <c r="P11" s="14">
        <v>1.34653061038476</v>
      </c>
      <c r="Q11" s="15">
        <v>2.52773643162944E-7</v>
      </c>
      <c r="R11" s="14">
        <v>3.7337880666898E-4</v>
      </c>
      <c r="S11" s="14">
        <v>62.9693361784479</v>
      </c>
      <c r="T11" s="14">
        <v>1.14746877685297E-4</v>
      </c>
      <c r="U11" s="14">
        <v>1.70114496273177E-4</v>
      </c>
      <c r="V11" s="14">
        <v>86.7908112586823</v>
      </c>
      <c r="W11" s="14">
        <v>18.7707062031898</v>
      </c>
      <c r="X11" s="14">
        <v>67.387317544819</v>
      </c>
      <c r="Y11" s="14">
        <v>5.60420921880453</v>
      </c>
      <c r="Z11" s="14">
        <v>4.36584956124006</v>
      </c>
      <c r="AA11" s="14">
        <v>2.05345534531456</v>
      </c>
      <c r="AB11" s="14">
        <v>2.21490267526953</v>
      </c>
      <c r="AC11" s="14">
        <v>2.3912926843998</v>
      </c>
      <c r="AD11" s="14">
        <v>2.54199515856895</v>
      </c>
      <c r="AE11" s="14">
        <v>2.03379548245896</v>
      </c>
      <c r="AF11" s="14">
        <v>2.03264355873381</v>
      </c>
      <c r="AG11" s="14">
        <v>3.67365947267241</v>
      </c>
      <c r="AH11" s="14">
        <v>4.02622994894337</v>
      </c>
      <c r="AI11" s="14">
        <v>0.433711061374232</v>
      </c>
      <c r="AJ11" s="14">
        <v>0.705135902917013</v>
      </c>
      <c r="AK11" s="14">
        <v>1.6447542350029</v>
      </c>
      <c r="AL11" s="14">
        <v>0.339566381045213</v>
      </c>
      <c r="AM11" s="14">
        <v>0.439339757635378</v>
      </c>
      <c r="AN11" s="14">
        <v>0.0</v>
      </c>
      <c r="AO11" s="14">
        <v>0.0</v>
      </c>
      <c r="AP11" s="14">
        <v>91.8246994665213</v>
      </c>
      <c r="AQ11" s="14">
        <v>48.3587368692974</v>
      </c>
      <c r="AR11" s="14">
        <v>68.7914884405947</v>
      </c>
      <c r="AS11" s="14">
        <v>20.9163861866659</v>
      </c>
      <c r="AT11" s="14">
        <v>1.43685489907611</v>
      </c>
      <c r="AU11" s="14">
        <v>0.0</v>
      </c>
      <c r="AV11" s="14">
        <v>0.0</v>
      </c>
      <c r="AW11" s="14">
        <v>12.2206490748284</v>
      </c>
      <c r="AX11" s="14">
        <v>26.5969065781973</v>
      </c>
      <c r="AY11" s="14">
        <v>7.95771034045942</v>
      </c>
      <c r="AZ11" s="14">
        <v>0.0</v>
      </c>
      <c r="BA11" s="14">
        <v>0.0</v>
      </c>
      <c r="BB11" s="14">
        <v>-0.756884958891524</v>
      </c>
      <c r="BC11" s="14">
        <v>1.58347087581226</v>
      </c>
      <c r="BD11" s="14">
        <v>63.8731979637279</v>
      </c>
      <c r="BE11" s="14">
        <v>8.88944154280935</v>
      </c>
      <c r="BF11" s="14">
        <v>0.0</v>
      </c>
      <c r="BG11" s="14">
        <v>0.0</v>
      </c>
      <c r="BH11" s="14">
        <v>0.0</v>
      </c>
      <c r="BI11" s="14">
        <v>0.0</v>
      </c>
      <c r="BJ11" s="14">
        <v>0.0</v>
      </c>
      <c r="BK11" s="14">
        <v>0.0</v>
      </c>
      <c r="BL11" s="14">
        <v>0.0</v>
      </c>
      <c r="BM11" s="14">
        <v>0.0</v>
      </c>
      <c r="BN11" s="14">
        <v>0.0</v>
      </c>
      <c r="BO11" s="14">
        <v>0.0</v>
      </c>
      <c r="BP11" s="14">
        <v>0.0</v>
      </c>
      <c r="BQ11" s="14">
        <v>0.0</v>
      </c>
      <c r="BR11" s="14">
        <v>0.0</v>
      </c>
      <c r="BS11" s="14">
        <v>0.0</v>
      </c>
      <c r="BT11" s="14">
        <v>-0.0179233987921638</v>
      </c>
      <c r="BU11" s="14">
        <v>0.667834930566878</v>
      </c>
      <c r="BV11" s="14">
        <v>6.41893249163846</v>
      </c>
      <c r="BW11" s="14">
        <v>11.402113108904</v>
      </c>
      <c r="BX11" s="14">
        <v>0.0</v>
      </c>
      <c r="BY11" s="14">
        <v>0.0</v>
      </c>
      <c r="BZ11" s="14">
        <v>0.0</v>
      </c>
      <c r="CA11" s="14">
        <v>-0.145669767473625</v>
      </c>
      <c r="CB11" s="14">
        <v>4.68659238812948</v>
      </c>
      <c r="CC11" s="14">
        <v>0.0</v>
      </c>
      <c r="CD11" s="14">
        <v>0.0</v>
      </c>
      <c r="CE11" s="14">
        <v>0.0</v>
      </c>
      <c r="CF11" s="14">
        <v>0.0</v>
      </c>
      <c r="CG11" s="14">
        <v>0.0</v>
      </c>
      <c r="CH11" s="14">
        <v>0.0</v>
      </c>
      <c r="CI11" s="14">
        <v>0.963477067605762</v>
      </c>
      <c r="CJ11" s="14">
        <v>1.47239079692302</v>
      </c>
      <c r="CK11" s="14">
        <v>0.963477067605762</v>
      </c>
      <c r="CL11" s="14">
        <v>2.71181912874705</v>
      </c>
      <c r="CM11" s="14">
        <v>0.0</v>
      </c>
      <c r="CN11" s="14">
        <v>-0.817119718178232</v>
      </c>
      <c r="CO11" s="14">
        <v>-0.0524035602776755</v>
      </c>
      <c r="CP11" s="14">
        <v>0.106430424468465</v>
      </c>
      <c r="CQ11" s="14">
        <v>0.0</v>
      </c>
      <c r="CR11" s="14">
        <v>0.0</v>
      </c>
      <c r="CS11" s="14">
        <v>0.0</v>
      </c>
      <c r="CT11" s="14">
        <v>94.5959331422965</v>
      </c>
      <c r="CU11" s="14">
        <v>-242.032008693434</v>
      </c>
      <c r="CV11" s="14">
        <v>-234.477391258627</v>
      </c>
      <c r="CW11" s="14">
        <v>45.3050404708135</v>
      </c>
      <c r="CX11" s="14">
        <v>0.968786701083095</v>
      </c>
      <c r="CY11" s="14">
        <v>0.478932222198845</v>
      </c>
      <c r="CZ11" s="14">
        <v>3.4510080425977</v>
      </c>
      <c r="DA11" s="14">
        <v>1.11431087222369</v>
      </c>
      <c r="DB11" s="14">
        <v>10.41573536</v>
      </c>
      <c r="DC11" s="14">
        <v>1.162</v>
      </c>
      <c r="DD11" s="14">
        <v>100.0</v>
      </c>
      <c r="DE11" s="14">
        <v>47.777</v>
      </c>
      <c r="DF11" s="14">
        <v>3.53416638888888</v>
      </c>
      <c r="DG11" s="14">
        <v>25.4459979999999</v>
      </c>
      <c r="DH11" s="16"/>
      <c r="DI11" s="16"/>
    </row>
    <row r="13">
      <c r="A13" s="18" t="s">
        <v>129</v>
      </c>
      <c r="B13" s="18">
        <v>-4.0</v>
      </c>
      <c r="C13" s="18">
        <v>15.0</v>
      </c>
      <c r="D13" s="18">
        <v>941.429091751649</v>
      </c>
      <c r="E13" s="18">
        <v>355.994305007775</v>
      </c>
      <c r="F13" s="3">
        <f t="shared" ref="F13:F15" si="3">D13/(0.5*DC13*DA13*(DB13^2))</f>
        <v>5.974503984</v>
      </c>
      <c r="G13" s="18">
        <v>2.25921362778565</v>
      </c>
      <c r="H13" s="18">
        <v>2.67366054737602</v>
      </c>
      <c r="I13" s="18">
        <v>1.01376329348554</v>
      </c>
      <c r="J13" s="18">
        <v>2.64450604548599</v>
      </c>
      <c r="K13" s="18">
        <v>64.2430447389903</v>
      </c>
      <c r="L13" s="18">
        <v>35.7569552610096</v>
      </c>
      <c r="M13" s="18">
        <v>3.40374622692945</v>
      </c>
      <c r="N13" s="19">
        <v>3.16470445589373E-6</v>
      </c>
      <c r="O13" s="18">
        <v>5.22648136592994E-4</v>
      </c>
      <c r="P13" s="18">
        <v>1.29349460933217</v>
      </c>
      <c r="Q13" s="19">
        <v>6.24860865428355E-6</v>
      </c>
      <c r="R13" s="18">
        <v>0.0019325335392459</v>
      </c>
      <c r="S13" s="18">
        <v>64.1591352754868</v>
      </c>
      <c r="T13" s="18">
        <v>0.0023980910157965</v>
      </c>
      <c r="U13" s="18">
        <v>7.63263209223018E-4</v>
      </c>
      <c r="V13" s="18">
        <v>348.69973270861</v>
      </c>
      <c r="W13" s="18">
        <v>75.0312577368823</v>
      </c>
      <c r="X13" s="18">
        <v>271.316489690695</v>
      </c>
      <c r="Y13" s="18">
        <v>22.3538338591401</v>
      </c>
      <c r="Z13" s="18">
        <v>16.893305697886</v>
      </c>
      <c r="AA13" s="18">
        <v>8.34198684885621</v>
      </c>
      <c r="AB13" s="18">
        <v>8.77005260088056</v>
      </c>
      <c r="AC13" s="18">
        <v>9.86714834506604</v>
      </c>
      <c r="AD13" s="18">
        <v>10.0755593155721</v>
      </c>
      <c r="AE13" s="18">
        <v>7.89118478670067</v>
      </c>
      <c r="AF13" s="18">
        <v>8.18785256688814</v>
      </c>
      <c r="AG13" s="18">
        <v>14.7237558210555</v>
      </c>
      <c r="AH13" s="18">
        <v>16.2433212188757</v>
      </c>
      <c r="AI13" s="18">
        <v>1.802506110908</v>
      </c>
      <c r="AJ13" s="18">
        <v>2.97823668136832</v>
      </c>
      <c r="AK13" s="18">
        <v>6.39177004442844</v>
      </c>
      <c r="AL13" s="18">
        <v>1.37047243272944</v>
      </c>
      <c r="AM13" s="18">
        <v>1.79975860338625</v>
      </c>
      <c r="AN13" s="18">
        <v>0.0</v>
      </c>
      <c r="AO13" s="18">
        <v>0.0</v>
      </c>
      <c r="AP13" s="18">
        <v>352.593232353784</v>
      </c>
      <c r="AQ13" s="18">
        <v>178.202267942534</v>
      </c>
      <c r="AR13" s="18">
        <v>267.406703757532</v>
      </c>
      <c r="AS13" s="18">
        <v>76.4842528045676</v>
      </c>
      <c r="AT13" s="18">
        <v>5.72179753346984</v>
      </c>
      <c r="AU13" s="18">
        <v>0.0</v>
      </c>
      <c r="AV13" s="18">
        <v>0.0</v>
      </c>
      <c r="AW13" s="18">
        <v>43.848815656312</v>
      </c>
      <c r="AX13" s="18">
        <v>97.3505655710019</v>
      </c>
      <c r="AY13" s="18">
        <v>31.9329789775094</v>
      </c>
      <c r="AZ13" s="18">
        <v>0.0</v>
      </c>
      <c r="BA13" s="18">
        <v>0.0</v>
      </c>
      <c r="BB13" s="18">
        <v>-2.7413192752556</v>
      </c>
      <c r="BC13" s="18">
        <v>5.06990773771136</v>
      </c>
      <c r="BD13" s="18">
        <v>247.204145301701</v>
      </c>
      <c r="BE13" s="18">
        <v>33.0941989676163</v>
      </c>
      <c r="BF13" s="18">
        <v>0.0</v>
      </c>
      <c r="BG13" s="18">
        <v>0.0</v>
      </c>
      <c r="BH13" s="18">
        <v>0.0</v>
      </c>
      <c r="BI13" s="18">
        <v>0.0</v>
      </c>
      <c r="BJ13" s="18">
        <v>0.0</v>
      </c>
      <c r="BK13" s="18">
        <v>0.0</v>
      </c>
      <c r="BL13" s="18">
        <v>0.0</v>
      </c>
      <c r="BM13" s="18">
        <v>0.0</v>
      </c>
      <c r="BN13" s="18">
        <v>0.0</v>
      </c>
      <c r="BO13" s="18">
        <v>0.0</v>
      </c>
      <c r="BP13" s="18">
        <v>0.0</v>
      </c>
      <c r="BQ13" s="18">
        <v>0.0</v>
      </c>
      <c r="BR13" s="18">
        <v>0.0</v>
      </c>
      <c r="BS13" s="18">
        <v>0.0</v>
      </c>
      <c r="BT13" s="18">
        <v>-0.0655525566646434</v>
      </c>
      <c r="BU13" s="18">
        <v>2.1261299647509</v>
      </c>
      <c r="BV13" s="18">
        <v>19.7845651741802</v>
      </c>
      <c r="BW13" s="18">
        <v>43.2036815118961</v>
      </c>
      <c r="BX13" s="18">
        <v>0.0</v>
      </c>
      <c r="BY13" s="18">
        <v>0.0</v>
      </c>
      <c r="BZ13" s="18">
        <v>0.0</v>
      </c>
      <c r="CA13" s="18">
        <v>0.0125604747565184</v>
      </c>
      <c r="CB13" s="18">
        <v>17.4255165139107</v>
      </c>
      <c r="CC13" s="18">
        <v>0.0</v>
      </c>
      <c r="CD13" s="18">
        <v>0.0</v>
      </c>
      <c r="CE13" s="18">
        <v>0.0</v>
      </c>
      <c r="CF13" s="18">
        <v>0.0</v>
      </c>
      <c r="CG13" s="18">
        <v>0.0</v>
      </c>
      <c r="CH13" s="18">
        <v>0.0</v>
      </c>
      <c r="CI13" s="18">
        <v>3.71138541496828</v>
      </c>
      <c r="CJ13" s="18">
        <v>6.90050111260886</v>
      </c>
      <c r="CK13" s="18">
        <v>3.71138541496828</v>
      </c>
      <c r="CL13" s="18">
        <v>9.46990712126586</v>
      </c>
      <c r="CM13" s="18">
        <v>0.0</v>
      </c>
      <c r="CN13" s="18">
        <v>-2.41541657805556</v>
      </c>
      <c r="CO13" s="18">
        <v>-0.0944876215541655</v>
      </c>
      <c r="CP13" s="18">
        <v>0.22315145117508</v>
      </c>
      <c r="CQ13" s="18">
        <v>0.0</v>
      </c>
      <c r="CR13" s="18">
        <v>0.0</v>
      </c>
      <c r="CS13" s="18">
        <v>0.0</v>
      </c>
      <c r="CT13" s="18">
        <v>355.994305007775</v>
      </c>
      <c r="CU13" s="18">
        <v>-941.429091751649</v>
      </c>
      <c r="CV13" s="18">
        <v>-888.81814190768</v>
      </c>
      <c r="CW13" s="18">
        <v>168.354692970865</v>
      </c>
      <c r="CX13" s="18">
        <v>0.944115865650509</v>
      </c>
      <c r="CY13" s="18">
        <v>0.472914006214757</v>
      </c>
      <c r="CZ13" s="18">
        <v>3.45165548954137</v>
      </c>
      <c r="DA13" s="18">
        <v>1.11427077815077</v>
      </c>
      <c r="DB13" s="18">
        <v>15.60125168</v>
      </c>
      <c r="DC13" s="18">
        <v>1.162</v>
      </c>
      <c r="DD13" s="18">
        <v>100.0</v>
      </c>
      <c r="DE13" s="18">
        <v>49.926</v>
      </c>
      <c r="DF13" s="18">
        <v>6.94510944444444</v>
      </c>
      <c r="DG13" s="18">
        <v>25.0023939999999</v>
      </c>
      <c r="DH13" s="20"/>
      <c r="DI13" s="20"/>
    </row>
    <row r="14">
      <c r="A14" s="18" t="s">
        <v>134</v>
      </c>
      <c r="B14" s="18">
        <v>-6.0</v>
      </c>
      <c r="C14" s="18">
        <v>15.0</v>
      </c>
      <c r="D14" s="18">
        <v>547.058082528251</v>
      </c>
      <c r="E14" s="18">
        <v>211.617073390587</v>
      </c>
      <c r="F14" s="3">
        <f t="shared" si="3"/>
        <v>3.49159947</v>
      </c>
      <c r="G14" s="18">
        <v>1.35064646713414</v>
      </c>
      <c r="H14" s="18">
        <v>1.56253173247675</v>
      </c>
      <c r="I14" s="18">
        <v>0.606045629097574</v>
      </c>
      <c r="J14" s="18">
        <v>2.58513206785792</v>
      </c>
      <c r="K14" s="18">
        <v>63.1545902967043</v>
      </c>
      <c r="L14" s="18">
        <v>36.8454097032956</v>
      </c>
      <c r="M14" s="18">
        <v>3.48269942878504</v>
      </c>
      <c r="N14" s="19">
        <v>2.14078120418422E-7</v>
      </c>
      <c r="O14" s="18">
        <v>1.32852627110317E-4</v>
      </c>
      <c r="P14" s="18">
        <v>1.35068596507769</v>
      </c>
      <c r="Q14" s="19">
        <v>1.87018035187525E-7</v>
      </c>
      <c r="R14" s="18">
        <v>3.20174955504582E-4</v>
      </c>
      <c r="S14" s="18">
        <v>63.1665365455911</v>
      </c>
      <c r="T14" s="19">
        <v>6.04844141163856E-5</v>
      </c>
      <c r="U14" s="18">
        <v>1.23121720063893E-4</v>
      </c>
      <c r="V14" s="18">
        <v>196.698765086567</v>
      </c>
      <c r="W14" s="18">
        <v>42.2965210470517</v>
      </c>
      <c r="X14" s="18">
        <v>152.759500919754</v>
      </c>
      <c r="Y14" s="18">
        <v>12.6870204831187</v>
      </c>
      <c r="Z14" s="18">
        <v>9.81311279061839</v>
      </c>
      <c r="AA14" s="18">
        <v>4.68491540975996</v>
      </c>
      <c r="AB14" s="18">
        <v>5.03672395540935</v>
      </c>
      <c r="AC14" s="18">
        <v>5.14576213788379</v>
      </c>
      <c r="AD14" s="18">
        <v>5.76605805909767</v>
      </c>
      <c r="AE14" s="18">
        <v>4.57591345633478</v>
      </c>
      <c r="AF14" s="18">
        <v>4.618862646266</v>
      </c>
      <c r="AG14" s="18">
        <v>8.3799303906609</v>
      </c>
      <c r="AH14" s="18">
        <v>9.10739386700269</v>
      </c>
      <c r="AI14" s="18">
        <v>0.996132382708855</v>
      </c>
      <c r="AJ14" s="18">
        <v>1.6139652781953</v>
      </c>
      <c r="AK14" s="18">
        <v>3.67510142378688</v>
      </c>
      <c r="AL14" s="18">
        <v>0.773186925920773</v>
      </c>
      <c r="AM14" s="18">
        <v>0.981775616440011</v>
      </c>
      <c r="AN14" s="18">
        <v>0.0</v>
      </c>
      <c r="AO14" s="18">
        <v>0.0</v>
      </c>
      <c r="AP14" s="18">
        <v>207.453133994043</v>
      </c>
      <c r="AQ14" s="18">
        <v>108.343446081649</v>
      </c>
      <c r="AR14" s="18">
        <v>155.556321239283</v>
      </c>
      <c r="AS14" s="18">
        <v>46.901451717145</v>
      </c>
      <c r="AT14" s="18">
        <v>3.29890535367372</v>
      </c>
      <c r="AU14" s="18">
        <v>0.0</v>
      </c>
      <c r="AV14" s="18">
        <v>0.0</v>
      </c>
      <c r="AW14" s="18">
        <v>27.1114326005068</v>
      </c>
      <c r="AX14" s="18">
        <v>59.7018178089968</v>
      </c>
      <c r="AY14" s="18">
        <v>18.0045093808149</v>
      </c>
      <c r="AZ14" s="18">
        <v>0.0</v>
      </c>
      <c r="BA14" s="18">
        <v>0.0</v>
      </c>
      <c r="BB14" s="18">
        <v>-1.60244966973236</v>
      </c>
      <c r="BC14" s="18">
        <v>3.52568629133052</v>
      </c>
      <c r="BD14" s="18">
        <v>144.668632225323</v>
      </c>
      <c r="BE14" s="18">
        <v>19.8170387100717</v>
      </c>
      <c r="BF14" s="18">
        <v>0.0</v>
      </c>
      <c r="BG14" s="18">
        <v>0.0</v>
      </c>
      <c r="BH14" s="18">
        <v>0.0</v>
      </c>
      <c r="BI14" s="18">
        <v>0.0</v>
      </c>
      <c r="BJ14" s="18">
        <v>0.0</v>
      </c>
      <c r="BK14" s="18">
        <v>0.0</v>
      </c>
      <c r="BL14" s="18">
        <v>0.0</v>
      </c>
      <c r="BM14" s="18">
        <v>0.0</v>
      </c>
      <c r="BN14" s="18">
        <v>0.0</v>
      </c>
      <c r="BO14" s="18">
        <v>0.0</v>
      </c>
      <c r="BP14" s="18">
        <v>0.0</v>
      </c>
      <c r="BQ14" s="18">
        <v>0.0</v>
      </c>
      <c r="BR14" s="18">
        <v>0.0</v>
      </c>
      <c r="BS14" s="18">
        <v>0.0</v>
      </c>
      <c r="BT14" s="18">
        <v>-0.040405494159231</v>
      </c>
      <c r="BU14" s="18">
        <v>1.36612222389621</v>
      </c>
      <c r="BV14" s="18">
        <v>13.427976451347</v>
      </c>
      <c r="BW14" s="18">
        <v>26.0053650671786</v>
      </c>
      <c r="BX14" s="18">
        <v>0.0</v>
      </c>
      <c r="BY14" s="18">
        <v>0.0</v>
      </c>
      <c r="BZ14" s="18">
        <v>0.0</v>
      </c>
      <c r="CA14" s="18">
        <v>-0.100262222994974</v>
      </c>
      <c r="CB14" s="18">
        <v>10.2504865166784</v>
      </c>
      <c r="CC14" s="18">
        <v>0.0</v>
      </c>
      <c r="CD14" s="18">
        <v>0.0</v>
      </c>
      <c r="CE14" s="18">
        <v>0.0</v>
      </c>
      <c r="CF14" s="18">
        <v>0.0</v>
      </c>
      <c r="CG14" s="18">
        <v>0.0</v>
      </c>
      <c r="CH14" s="18">
        <v>0.0</v>
      </c>
      <c r="CI14" s="18">
        <v>1.93438411184267</v>
      </c>
      <c r="CJ14" s="18">
        <v>3.3250911070292</v>
      </c>
      <c r="CK14" s="18">
        <v>1.93438411184267</v>
      </c>
      <c r="CL14" s="18">
        <v>5.83849129390763</v>
      </c>
      <c r="CM14" s="18">
        <v>0.0</v>
      </c>
      <c r="CN14" s="18">
        <v>-1.98919433804008</v>
      </c>
      <c r="CO14" s="18">
        <v>-0.0627562590294097</v>
      </c>
      <c r="CP14" s="18">
        <v>0.156919276823318</v>
      </c>
      <c r="CQ14" s="18">
        <v>0.0</v>
      </c>
      <c r="CR14" s="18">
        <v>0.0</v>
      </c>
      <c r="CS14" s="18">
        <v>0.0</v>
      </c>
      <c r="CT14" s="18">
        <v>211.617073390587</v>
      </c>
      <c r="CU14" s="18">
        <v>-547.058082528251</v>
      </c>
      <c r="CV14" s="18">
        <v>-528.063619209783</v>
      </c>
      <c r="CW14" s="18">
        <v>101.594082754431</v>
      </c>
      <c r="CX14" s="18">
        <v>0.965278890989628</v>
      </c>
      <c r="CY14" s="18">
        <v>0.480084527806111</v>
      </c>
      <c r="CZ14" s="18">
        <v>3.4510080425977</v>
      </c>
      <c r="DA14" s="18">
        <v>1.11431087222369</v>
      </c>
      <c r="DB14" s="18">
        <v>15.55654895</v>
      </c>
      <c r="DC14" s="18">
        <v>1.162</v>
      </c>
      <c r="DD14" s="18">
        <v>100.0</v>
      </c>
      <c r="DE14" s="18">
        <v>44.234</v>
      </c>
      <c r="DF14" s="18">
        <v>3.48052944444443</v>
      </c>
      <c r="DG14" s="18">
        <v>25.0598119999999</v>
      </c>
      <c r="DH14" s="20"/>
      <c r="DI14" s="20"/>
    </row>
    <row r="15">
      <c r="A15" s="18" t="s">
        <v>136</v>
      </c>
      <c r="B15" s="18">
        <v>-8.0</v>
      </c>
      <c r="C15" s="18">
        <v>15.0</v>
      </c>
      <c r="D15" s="18">
        <v>489.790778223283</v>
      </c>
      <c r="E15" s="18">
        <v>192.764628851499</v>
      </c>
      <c r="F15" s="3">
        <f t="shared" si="3"/>
        <v>3.125940878</v>
      </c>
      <c r="G15" s="18">
        <v>1.23026174703202</v>
      </c>
      <c r="H15" s="18">
        <v>1.39889522210768</v>
      </c>
      <c r="I15" s="18">
        <v>0.552001595292736</v>
      </c>
      <c r="J15" s="18">
        <v>2.54087475042221</v>
      </c>
      <c r="K15" s="18">
        <v>65.9599345153833</v>
      </c>
      <c r="L15" s="18">
        <v>34.0400654846166</v>
      </c>
      <c r="M15" s="18">
        <v>3.13056464201991</v>
      </c>
      <c r="N15" s="19">
        <v>3.65914118502146E-5</v>
      </c>
      <c r="O15" s="18">
        <v>0.0019322659795552</v>
      </c>
      <c r="P15" s="18">
        <v>1.23614506663068</v>
      </c>
      <c r="Q15" s="19">
        <v>1.08397966202899E-5</v>
      </c>
      <c r="R15" s="18">
        <v>0.0026634290175715</v>
      </c>
      <c r="S15" s="18">
        <v>65.7222393440413</v>
      </c>
      <c r="T15" s="18">
        <v>0.0128964627297961</v>
      </c>
      <c r="U15" s="18">
        <v>0.0017279172928073</v>
      </c>
      <c r="V15" s="18">
        <v>189.172145207709</v>
      </c>
      <c r="W15" s="18">
        <v>40.1157974102443</v>
      </c>
      <c r="X15" s="18">
        <v>147.736839607099</v>
      </c>
      <c r="Y15" s="18">
        <v>12.111425149572</v>
      </c>
      <c r="Z15" s="18">
        <v>8.98421079437275</v>
      </c>
      <c r="AA15" s="18">
        <v>4.53735655386008</v>
      </c>
      <c r="AB15" s="18">
        <v>4.58349382686667</v>
      </c>
      <c r="AC15" s="18">
        <v>5.12980984422024</v>
      </c>
      <c r="AD15" s="18">
        <v>5.48230313768506</v>
      </c>
      <c r="AE15" s="18">
        <v>4.15518023131256</v>
      </c>
      <c r="AF15" s="18">
        <v>4.48872232917813</v>
      </c>
      <c r="AG15" s="18">
        <v>7.83824533465576</v>
      </c>
      <c r="AH15" s="18">
        <v>8.7287853449414</v>
      </c>
      <c r="AI15" s="18">
        <v>0.977743866276542</v>
      </c>
      <c r="AJ15" s="18">
        <v>1.51229006472054</v>
      </c>
      <c r="AK15" s="18">
        <v>3.47239798499636</v>
      </c>
      <c r="AL15" s="18">
        <v>0.74548760904098</v>
      </c>
      <c r="AM15" s="18">
        <v>0.965405604499444</v>
      </c>
      <c r="AN15" s="18">
        <v>0.0</v>
      </c>
      <c r="AO15" s="18">
        <v>0.0</v>
      </c>
      <c r="AP15" s="18">
        <v>177.096116307633</v>
      </c>
      <c r="AQ15" s="18">
        <v>92.3199819348811</v>
      </c>
      <c r="AR15" s="18">
        <v>134.120353293452</v>
      </c>
      <c r="AS15" s="18">
        <v>38.3580571242546</v>
      </c>
      <c r="AT15" s="18">
        <v>2.99833118528188</v>
      </c>
      <c r="AU15" s="18">
        <v>0.0</v>
      </c>
      <c r="AV15" s="18">
        <v>0.0</v>
      </c>
      <c r="AW15" s="18">
        <v>22.070048487777</v>
      </c>
      <c r="AX15" s="18">
        <v>49.9386124439186</v>
      </c>
      <c r="AY15" s="18">
        <v>17.6255132628524</v>
      </c>
      <c r="AZ15" s="18">
        <v>0.0</v>
      </c>
      <c r="BA15" s="18">
        <v>0.0</v>
      </c>
      <c r="BB15" s="18">
        <v>-1.37895648063726</v>
      </c>
      <c r="BC15" s="18">
        <v>2.68580774033302</v>
      </c>
      <c r="BD15" s="18">
        <v>128.362105369898</v>
      </c>
      <c r="BE15" s="18">
        <v>17.707370480818</v>
      </c>
      <c r="BF15" s="18">
        <v>0.0</v>
      </c>
      <c r="BG15" s="18">
        <v>0.0</v>
      </c>
      <c r="BH15" s="18">
        <v>0.0</v>
      </c>
      <c r="BI15" s="18">
        <v>0.0</v>
      </c>
      <c r="BJ15" s="18">
        <v>0.0</v>
      </c>
      <c r="BK15" s="18">
        <v>0.0</v>
      </c>
      <c r="BL15" s="18">
        <v>0.0</v>
      </c>
      <c r="BM15" s="18">
        <v>0.0</v>
      </c>
      <c r="BN15" s="18">
        <v>0.0</v>
      </c>
      <c r="BO15" s="18">
        <v>0.0</v>
      </c>
      <c r="BP15" s="18">
        <v>0.0</v>
      </c>
      <c r="BQ15" s="18">
        <v>0.0</v>
      </c>
      <c r="BR15" s="18">
        <v>0.0</v>
      </c>
      <c r="BS15" s="18">
        <v>0.0</v>
      </c>
      <c r="BT15" s="18">
        <v>-0.162532435443091</v>
      </c>
      <c r="BU15" s="18">
        <v>1.16798709327329</v>
      </c>
      <c r="BV15" s="18">
        <v>12.1537727582207</v>
      </c>
      <c r="BW15" s="18">
        <v>24.1164740737457</v>
      </c>
      <c r="BX15" s="18">
        <v>0.0</v>
      </c>
      <c r="BY15" s="18">
        <v>0.0</v>
      </c>
      <c r="BZ15" s="18">
        <v>0.0</v>
      </c>
      <c r="CA15" s="18">
        <v>-0.268033425429674</v>
      </c>
      <c r="CB15" s="18">
        <v>9.50280004082258</v>
      </c>
      <c r="CC15" s="18">
        <v>0.0</v>
      </c>
      <c r="CD15" s="18">
        <v>0.0</v>
      </c>
      <c r="CE15" s="18">
        <v>0.0</v>
      </c>
      <c r="CF15" s="18">
        <v>0.0</v>
      </c>
      <c r="CG15" s="18">
        <v>0.0</v>
      </c>
      <c r="CH15" s="18">
        <v>0.0</v>
      </c>
      <c r="CI15" s="18">
        <v>2.90327067204642</v>
      </c>
      <c r="CJ15" s="18">
        <v>6.73557739572213</v>
      </c>
      <c r="CK15" s="18">
        <v>2.90327067204642</v>
      </c>
      <c r="CL15" s="18">
        <v>5.33719107602448</v>
      </c>
      <c r="CM15" s="18">
        <v>0.0</v>
      </c>
      <c r="CN15" s="18">
        <v>-0.116416465784375</v>
      </c>
      <c r="CO15" s="18">
        <v>-0.49550285711294</v>
      </c>
      <c r="CP15" s="18">
        <v>0.171730512302587</v>
      </c>
      <c r="CQ15" s="18">
        <v>0.0</v>
      </c>
      <c r="CR15" s="18">
        <v>0.0</v>
      </c>
      <c r="CS15" s="18">
        <v>0.0</v>
      </c>
      <c r="CT15" s="18">
        <v>192.764628851499</v>
      </c>
      <c r="CU15" s="18">
        <v>-489.790778223283</v>
      </c>
      <c r="CV15" s="18">
        <v>-446.069407819921</v>
      </c>
      <c r="CW15" s="18">
        <v>88.3055036827164</v>
      </c>
      <c r="CX15" s="18">
        <v>0.910734598634213</v>
      </c>
      <c r="CY15" s="18">
        <v>0.458100141135045</v>
      </c>
      <c r="CZ15" s="18">
        <v>3.45106377608804</v>
      </c>
      <c r="DA15" s="18">
        <v>1.11436430394697</v>
      </c>
      <c r="DB15" s="18">
        <v>15.55654895</v>
      </c>
      <c r="DC15" s="18">
        <v>1.162</v>
      </c>
      <c r="DD15" s="18">
        <v>100.0</v>
      </c>
      <c r="DE15" s="18">
        <v>44.936</v>
      </c>
      <c r="DF15" s="18">
        <v>3.81506638888888</v>
      </c>
      <c r="DG15" s="18">
        <v>27.4684779999999</v>
      </c>
      <c r="DH15" s="20"/>
      <c r="DI15" s="20"/>
    </row>
    <row r="16">
      <c r="A16" s="18"/>
      <c r="B16" s="18"/>
      <c r="C16" s="18"/>
      <c r="D16" s="18"/>
      <c r="E16" s="18"/>
      <c r="G16" s="18"/>
      <c r="H16" s="18"/>
      <c r="I16" s="18"/>
      <c r="J16" s="18"/>
      <c r="K16" s="18"/>
      <c r="L16" s="18"/>
      <c r="M16" s="18"/>
      <c r="N16" s="19"/>
      <c r="O16" s="18"/>
      <c r="P16" s="18"/>
      <c r="Q16" s="19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20"/>
      <c r="DI16" s="20"/>
    </row>
    <row r="17">
      <c r="A17" s="1" t="s">
        <v>139</v>
      </c>
    </row>
    <row r="18">
      <c r="A18" s="1" t="s">
        <v>41</v>
      </c>
      <c r="B18" s="1" t="s">
        <v>43</v>
      </c>
      <c r="C18" s="1" t="s">
        <v>43</v>
      </c>
      <c r="D18" s="1" t="s">
        <v>47</v>
      </c>
      <c r="E18" s="1" t="s">
        <v>48</v>
      </c>
      <c r="F18" s="1" t="s">
        <v>3</v>
      </c>
      <c r="G18" s="1" t="s">
        <v>4</v>
      </c>
      <c r="H18" s="1" t="s">
        <v>5</v>
      </c>
      <c r="I18" s="1" t="s">
        <v>6</v>
      </c>
      <c r="J18" s="1" t="s">
        <v>7</v>
      </c>
      <c r="K18" s="1" t="s">
        <v>8</v>
      </c>
      <c r="L18" s="1" t="s">
        <v>9</v>
      </c>
      <c r="M18" s="1" t="s">
        <v>10</v>
      </c>
      <c r="N18" s="1" t="s">
        <v>11</v>
      </c>
      <c r="O18" s="1" t="s">
        <v>12</v>
      </c>
      <c r="P18" s="1" t="s">
        <v>13</v>
      </c>
      <c r="Q18" s="1" t="s">
        <v>14</v>
      </c>
      <c r="R18" s="1" t="s">
        <v>15</v>
      </c>
      <c r="S18" s="1" t="s">
        <v>16</v>
      </c>
      <c r="T18" s="1" t="s">
        <v>17</v>
      </c>
      <c r="U18" s="1" t="s">
        <v>18</v>
      </c>
      <c r="V18" s="1" t="s">
        <v>19</v>
      </c>
      <c r="W18" s="1" t="s">
        <v>21</v>
      </c>
      <c r="X18" s="1" t="s">
        <v>22</v>
      </c>
      <c r="Y18" s="1" t="s">
        <v>23</v>
      </c>
      <c r="Z18" s="1" t="s">
        <v>24</v>
      </c>
      <c r="AA18" s="1" t="s">
        <v>25</v>
      </c>
      <c r="AB18" s="1" t="s">
        <v>26</v>
      </c>
      <c r="AC18" s="1" t="s">
        <v>27</v>
      </c>
      <c r="AD18" s="1" t="s">
        <v>28</v>
      </c>
      <c r="AE18" s="1" t="s">
        <v>29</v>
      </c>
      <c r="AF18" s="1" t="s">
        <v>30</v>
      </c>
      <c r="AG18" s="1" t="s">
        <v>31</v>
      </c>
      <c r="AH18" s="1" t="s">
        <v>32</v>
      </c>
      <c r="AI18" s="1" t="s">
        <v>33</v>
      </c>
      <c r="AJ18" s="1" t="s">
        <v>34</v>
      </c>
      <c r="AK18" s="1" t="s">
        <v>35</v>
      </c>
      <c r="AL18" s="1" t="s">
        <v>36</v>
      </c>
      <c r="AM18" s="1" t="s">
        <v>37</v>
      </c>
      <c r="AN18" s="1" t="s">
        <v>38</v>
      </c>
      <c r="AO18" s="1" t="s">
        <v>39</v>
      </c>
      <c r="AP18" s="1" t="s">
        <v>40</v>
      </c>
      <c r="AQ18" s="1" t="s">
        <v>42</v>
      </c>
      <c r="AR18" s="1" t="s">
        <v>44</v>
      </c>
      <c r="AS18" s="1" t="s">
        <v>45</v>
      </c>
      <c r="AT18" s="1" t="s">
        <v>46</v>
      </c>
      <c r="AU18" s="1" t="s">
        <v>49</v>
      </c>
      <c r="AV18" s="1" t="s">
        <v>50</v>
      </c>
      <c r="AW18" s="1" t="s">
        <v>52</v>
      </c>
      <c r="AX18" s="1" t="s">
        <v>53</v>
      </c>
      <c r="AY18" s="1" t="s">
        <v>54</v>
      </c>
      <c r="AZ18" s="1" t="s">
        <v>55</v>
      </c>
      <c r="BA18" s="1" t="s">
        <v>56</v>
      </c>
      <c r="BB18" s="1" t="s">
        <v>57</v>
      </c>
      <c r="BC18" s="1" t="s">
        <v>58</v>
      </c>
      <c r="BD18" s="1" t="s">
        <v>59</v>
      </c>
      <c r="BE18" s="1" t="s">
        <v>60</v>
      </c>
      <c r="BF18" s="1" t="s">
        <v>61</v>
      </c>
      <c r="BG18" s="1" t="s">
        <v>62</v>
      </c>
      <c r="BH18" s="1" t="s">
        <v>63</v>
      </c>
      <c r="BI18" s="1" t="s">
        <v>64</v>
      </c>
      <c r="BJ18" s="1" t="s">
        <v>65</v>
      </c>
      <c r="BK18" s="1" t="s">
        <v>66</v>
      </c>
      <c r="BL18" s="1" t="s">
        <v>67</v>
      </c>
      <c r="BM18" s="1" t="s">
        <v>68</v>
      </c>
      <c r="BN18" s="1" t="s">
        <v>69</v>
      </c>
      <c r="BO18" s="1" t="s">
        <v>70</v>
      </c>
      <c r="BP18" s="1" t="s">
        <v>71</v>
      </c>
      <c r="BQ18" s="1" t="s">
        <v>72</v>
      </c>
      <c r="BR18" s="1" t="s">
        <v>73</v>
      </c>
      <c r="BS18" s="1" t="s">
        <v>74</v>
      </c>
      <c r="BT18" s="1" t="s">
        <v>75</v>
      </c>
      <c r="BU18" s="1" t="s">
        <v>76</v>
      </c>
      <c r="BV18" s="1" t="s">
        <v>77</v>
      </c>
      <c r="BW18" s="1" t="s">
        <v>78</v>
      </c>
      <c r="BX18" s="1" t="s">
        <v>79</v>
      </c>
      <c r="BY18" s="1" t="s">
        <v>80</v>
      </c>
      <c r="BZ18" s="1" t="s">
        <v>81</v>
      </c>
      <c r="CA18" s="1" t="s">
        <v>82</v>
      </c>
      <c r="CB18" s="1" t="s">
        <v>83</v>
      </c>
      <c r="CC18" s="1" t="s">
        <v>84</v>
      </c>
      <c r="CD18" s="1" t="s">
        <v>85</v>
      </c>
      <c r="CE18" s="1" t="s">
        <v>86</v>
      </c>
      <c r="CF18" s="1" t="s">
        <v>87</v>
      </c>
      <c r="CG18" s="1" t="s">
        <v>88</v>
      </c>
      <c r="CH18" s="1" t="s">
        <v>89</v>
      </c>
      <c r="CI18" s="1" t="s">
        <v>90</v>
      </c>
      <c r="CJ18" s="1" t="s">
        <v>91</v>
      </c>
      <c r="CK18" s="1" t="s">
        <v>92</v>
      </c>
      <c r="CL18" s="1" t="s">
        <v>93</v>
      </c>
      <c r="CM18" s="1" t="s">
        <v>94</v>
      </c>
      <c r="CN18" s="1" t="s">
        <v>95</v>
      </c>
      <c r="CO18" s="1" t="s">
        <v>96</v>
      </c>
      <c r="CP18" s="1" t="s">
        <v>97</v>
      </c>
      <c r="CQ18" s="1" t="s">
        <v>98</v>
      </c>
      <c r="CR18" s="1" t="s">
        <v>99</v>
      </c>
      <c r="CS18" s="1" t="s">
        <v>100</v>
      </c>
      <c r="CT18" s="1" t="s">
        <v>101</v>
      </c>
      <c r="CU18" s="1" t="s">
        <v>102</v>
      </c>
      <c r="CV18" s="1" t="s">
        <v>103</v>
      </c>
      <c r="CW18" s="1" t="s">
        <v>104</v>
      </c>
      <c r="CX18" s="1" t="s">
        <v>105</v>
      </c>
      <c r="CY18" s="1" t="s">
        <v>106</v>
      </c>
      <c r="CZ18" s="1" t="s">
        <v>107</v>
      </c>
      <c r="DA18" s="1" t="s">
        <v>108</v>
      </c>
      <c r="DB18" s="1" t="s">
        <v>109</v>
      </c>
      <c r="DC18" s="1" t="s">
        <v>110</v>
      </c>
      <c r="DD18" s="1" t="s">
        <v>111</v>
      </c>
      <c r="DE18" s="1" t="s">
        <v>112</v>
      </c>
      <c r="DF18" s="1" t="s">
        <v>113</v>
      </c>
      <c r="DG18" s="1" t="s">
        <v>114</v>
      </c>
      <c r="DH18" s="1" t="s">
        <v>115</v>
      </c>
      <c r="DI18" s="1" t="s">
        <v>116</v>
      </c>
      <c r="DJ18" s="1" t="s">
        <v>119</v>
      </c>
      <c r="DK18" s="1" t="s">
        <v>120</v>
      </c>
      <c r="DL18" s="1" t="s">
        <v>121</v>
      </c>
      <c r="DM18" s="1" t="s">
        <v>122</v>
      </c>
      <c r="DN18" s="1" t="s">
        <v>123</v>
      </c>
      <c r="DO18" s="1" t="s">
        <v>124</v>
      </c>
    </row>
    <row r="19">
      <c r="A19" s="1">
        <v>1.1</v>
      </c>
      <c r="B19" s="1">
        <v>10.41573536</v>
      </c>
      <c r="C19" s="1">
        <v>23.3</v>
      </c>
      <c r="D19" s="1">
        <v>0.0</v>
      </c>
      <c r="E19" s="1" t="s">
        <v>125</v>
      </c>
      <c r="F19" s="1">
        <v>110.569002</v>
      </c>
      <c r="G19" s="1">
        <v>62.73860164</v>
      </c>
      <c r="H19" s="1">
        <v>1.624654136</v>
      </c>
      <c r="I19" s="1">
        <v>0.9964797184</v>
      </c>
      <c r="J19" s="1">
        <v>0.7859075273</v>
      </c>
      <c r="K19" s="1">
        <v>0.4597780364</v>
      </c>
      <c r="L19" s="1">
        <v>1.76237594</v>
      </c>
      <c r="M19" s="1">
        <v>57.43557542</v>
      </c>
      <c r="N19" s="1">
        <v>42.56442458</v>
      </c>
      <c r="O19" s="1">
        <v>1.299990076</v>
      </c>
      <c r="P19" s="1">
        <v>0.1312165462</v>
      </c>
      <c r="Q19" s="1">
        <v>0.2786469311</v>
      </c>
      <c r="R19" s="1">
        <v>0.8108845924</v>
      </c>
      <c r="S19" s="1">
        <v>0.02838633352</v>
      </c>
      <c r="T19" s="1">
        <v>0.2077761057</v>
      </c>
      <c r="U19" s="1">
        <v>53.53592042</v>
      </c>
      <c r="V19" s="1">
        <v>32.19156343</v>
      </c>
      <c r="W19" s="1">
        <v>0.1059804504</v>
      </c>
      <c r="X19" s="1">
        <v>53.07743566</v>
      </c>
      <c r="Y19" s="1">
        <v>13.1771249</v>
      </c>
      <c r="Z19" s="1">
        <v>39.28022904</v>
      </c>
      <c r="AA19" s="1">
        <v>3.98258183</v>
      </c>
      <c r="AB19" s="1">
        <v>2.590143227</v>
      </c>
      <c r="AC19" s="1">
        <v>1.703470786</v>
      </c>
      <c r="AD19" s="1">
        <v>1.18040279</v>
      </c>
      <c r="AE19" s="1">
        <v>2.022634004</v>
      </c>
      <c r="AF19" s="1">
        <v>1.84302713</v>
      </c>
      <c r="AG19" s="1">
        <v>1.193639591</v>
      </c>
      <c r="AH19" s="1">
        <v>1.67641295</v>
      </c>
      <c r="AI19" s="1">
        <v>2.064676207</v>
      </c>
      <c r="AJ19" s="1">
        <v>0.3563823181</v>
      </c>
      <c r="AK19" s="1">
        <v>0.2357344184</v>
      </c>
      <c r="AL19" s="1">
        <v>3.748491242</v>
      </c>
      <c r="AM19" s="1">
        <v>0.3617412235</v>
      </c>
      <c r="AN19" s="1">
        <v>0.2149463216</v>
      </c>
      <c r="AO19" s="1">
        <v>1.735371264</v>
      </c>
      <c r="AP19" s="1">
        <v>0.0</v>
      </c>
      <c r="AQ19" s="1">
        <v>0.0</v>
      </c>
      <c r="AR19" s="1">
        <v>52.96435114</v>
      </c>
      <c r="AS19" s="1">
        <v>30.04318121</v>
      </c>
      <c r="AT19" s="1">
        <v>38.76196919</v>
      </c>
      <c r="AU19" s="1">
        <v>12.89151231</v>
      </c>
      <c r="AV19" s="1">
        <v>0.9146900005</v>
      </c>
      <c r="AW19" s="1">
        <v>0.0</v>
      </c>
      <c r="AX19" s="1">
        <v>0.0</v>
      </c>
      <c r="AY19" s="1">
        <v>6.378062067</v>
      </c>
      <c r="AZ19" s="1">
        <v>16.45688166</v>
      </c>
      <c r="BA19" s="1">
        <v>6.491607226</v>
      </c>
      <c r="BB19" s="1">
        <v>0.0</v>
      </c>
      <c r="BC19" s="1">
        <v>0.0</v>
      </c>
      <c r="BD19" s="1">
        <v>-0.5185103683</v>
      </c>
      <c r="BE19" s="1">
        <v>0.7166302563</v>
      </c>
      <c r="BF19" s="1">
        <v>19.89723467</v>
      </c>
      <c r="BG19" s="1">
        <v>3.230395138</v>
      </c>
      <c r="BH19" s="1">
        <v>0.0</v>
      </c>
      <c r="BI19" s="1">
        <v>0.0</v>
      </c>
      <c r="BJ19" s="1">
        <v>0.0</v>
      </c>
      <c r="BK19" s="1">
        <v>0.0</v>
      </c>
      <c r="BL19" s="1">
        <v>0.0</v>
      </c>
      <c r="BM19" s="1">
        <v>0.0</v>
      </c>
      <c r="BN19" s="1">
        <v>0.0</v>
      </c>
      <c r="BO19" s="1">
        <v>0.0</v>
      </c>
      <c r="BP19" s="1">
        <v>0.0</v>
      </c>
      <c r="BQ19" s="1">
        <v>0.0</v>
      </c>
      <c r="BR19" s="1">
        <v>-3.556685709</v>
      </c>
      <c r="BS19" s="1">
        <v>-0.2546888617</v>
      </c>
      <c r="BT19" s="1">
        <v>10.22894322</v>
      </c>
      <c r="BU19" s="1">
        <v>1.230971642</v>
      </c>
      <c r="BV19" s="1">
        <v>0.7193623929</v>
      </c>
      <c r="BW19" s="1">
        <v>3.77355502</v>
      </c>
      <c r="BX19" s="1">
        <v>-1.601220245</v>
      </c>
      <c r="BY19" s="1">
        <v>3.528368056</v>
      </c>
      <c r="BZ19" s="1">
        <v>0.0</v>
      </c>
      <c r="CA19" s="1">
        <v>0.0</v>
      </c>
      <c r="CB19" s="1">
        <v>0.0</v>
      </c>
      <c r="CC19" s="1">
        <v>-0.6901289416</v>
      </c>
      <c r="CD19" s="1">
        <v>2.233183079</v>
      </c>
      <c r="CE19" s="1">
        <v>0.0</v>
      </c>
      <c r="CF19" s="1">
        <v>0.0</v>
      </c>
      <c r="CG19" s="1">
        <v>-0.0252120994</v>
      </c>
      <c r="CH19" s="1">
        <v>1.568806399</v>
      </c>
      <c r="CI19" s="1">
        <v>0.0</v>
      </c>
      <c r="CJ19" s="1">
        <v>0.0</v>
      </c>
      <c r="CK19" s="1">
        <v>1.141244503</v>
      </c>
      <c r="CL19" s="1">
        <v>1.916077416</v>
      </c>
      <c r="CM19" s="1">
        <v>1.141244503</v>
      </c>
      <c r="CN19" s="1">
        <v>0.6520121812</v>
      </c>
      <c r="CO19" s="1">
        <v>1.414314469</v>
      </c>
      <c r="CP19" s="1">
        <v>0.2281607195</v>
      </c>
      <c r="CQ19" s="1">
        <v>-0.1038804399</v>
      </c>
      <c r="CR19" s="1">
        <v>0.04035363187</v>
      </c>
      <c r="CS19" s="1">
        <v>0.0</v>
      </c>
      <c r="CT19" s="1">
        <v>0.0</v>
      </c>
      <c r="CU19" s="1">
        <v>0.0</v>
      </c>
      <c r="CV19" s="1">
        <v>62.73860164</v>
      </c>
      <c r="CW19" s="1">
        <v>-110.569002</v>
      </c>
      <c r="CX19" s="1">
        <v>-117.1395193</v>
      </c>
      <c r="CY19" s="1">
        <v>27.78077491</v>
      </c>
      <c r="CZ19" s="1">
        <v>1.059424587</v>
      </c>
      <c r="DA19" s="1">
        <v>0.4428019463</v>
      </c>
      <c r="DB19" s="1">
        <v>3.46729652</v>
      </c>
      <c r="DC19" s="1">
        <v>1.083653023</v>
      </c>
      <c r="DD19" s="1">
        <v>10.0</v>
      </c>
      <c r="DE19" s="1">
        <v>1.162</v>
      </c>
      <c r="DF19" s="1">
        <v>100.0</v>
      </c>
      <c r="DG19" s="1">
        <v>8.909120831</v>
      </c>
      <c r="DH19" s="1">
        <v>0.1520699023</v>
      </c>
      <c r="DI19" s="1">
        <v>5.420313349</v>
      </c>
      <c r="DJ19" s="4">
        <v>4.6E-4</v>
      </c>
      <c r="DK19" s="1">
        <v>0.001813560858</v>
      </c>
      <c r="DL19" s="1">
        <v>0.001299763558</v>
      </c>
      <c r="DM19" s="1">
        <v>0.00169244725</v>
      </c>
      <c r="DN19" s="4">
        <v>4.45E-5</v>
      </c>
      <c r="DO19" s="1">
        <v>0.01972971135</v>
      </c>
    </row>
    <row r="20">
      <c r="A20" s="1">
        <v>1.2</v>
      </c>
      <c r="B20" s="1">
        <v>13.00849352</v>
      </c>
      <c r="C20" s="1">
        <v>29.1</v>
      </c>
      <c r="D20" s="1">
        <v>0.0</v>
      </c>
      <c r="E20" s="1" t="s">
        <v>125</v>
      </c>
      <c r="F20" s="1">
        <v>174.3141685</v>
      </c>
      <c r="G20" s="1">
        <v>100.9881895</v>
      </c>
      <c r="H20" s="1">
        <v>1.64204889</v>
      </c>
      <c r="I20" s="1">
        <v>0.949112061</v>
      </c>
      <c r="J20" s="1">
        <v>0.7331351187</v>
      </c>
      <c r="K20" s="1">
        <v>0.4379224902</v>
      </c>
      <c r="L20" s="1">
        <v>1.726084698</v>
      </c>
      <c r="M20" s="1">
        <v>56.46204869</v>
      </c>
      <c r="N20" s="1">
        <v>43.53795131</v>
      </c>
      <c r="O20" s="1">
        <v>1.24380414</v>
      </c>
      <c r="P20" s="1">
        <v>0.1102887529</v>
      </c>
      <c r="Q20" s="1">
        <v>0.2670014469</v>
      </c>
      <c r="R20" s="1">
        <v>0.7818990262</v>
      </c>
      <c r="S20" s="1">
        <v>0.02638442567</v>
      </c>
      <c r="T20" s="1">
        <v>0.207741446</v>
      </c>
      <c r="U20" s="1">
        <v>52.76759898</v>
      </c>
      <c r="V20" s="1">
        <v>29.387566</v>
      </c>
      <c r="W20" s="1">
        <v>0.1027340656</v>
      </c>
      <c r="X20" s="1">
        <v>84.13605046</v>
      </c>
      <c r="Y20" s="1">
        <v>21.27347845</v>
      </c>
      <c r="Z20" s="1">
        <v>61.89871304</v>
      </c>
      <c r="AA20" s="1">
        <v>6.453553941</v>
      </c>
      <c r="AB20" s="1">
        <v>4.117980851</v>
      </c>
      <c r="AC20" s="1">
        <v>2.791190778</v>
      </c>
      <c r="AD20" s="1">
        <v>1.878806623</v>
      </c>
      <c r="AE20" s="1">
        <v>3.364350107</v>
      </c>
      <c r="AF20" s="1">
        <v>2.958534131</v>
      </c>
      <c r="AG20" s="1">
        <v>1.873655686</v>
      </c>
      <c r="AH20" s="1">
        <v>2.738016809</v>
      </c>
      <c r="AI20" s="1">
        <v>3.304816312</v>
      </c>
      <c r="AJ20" s="1">
        <v>0.5871224072</v>
      </c>
      <c r="AK20" s="1">
        <v>0.3829991963</v>
      </c>
      <c r="AL20" s="1">
        <v>6.025683619</v>
      </c>
      <c r="AM20" s="1">
        <v>0.5886448377</v>
      </c>
      <c r="AN20" s="1">
        <v>0.3348779251</v>
      </c>
      <c r="AO20" s="1">
        <v>2.805766333</v>
      </c>
      <c r="AP20" s="1">
        <v>0.0</v>
      </c>
      <c r="AQ20" s="1">
        <v>0.0</v>
      </c>
      <c r="AR20" s="1">
        <v>87.56429722</v>
      </c>
      <c r="AS20" s="1">
        <v>49.42185334</v>
      </c>
      <c r="AT20" s="1">
        <v>63.93448646</v>
      </c>
      <c r="AU20" s="1">
        <v>21.43025533</v>
      </c>
      <c r="AV20" s="1">
        <v>1.522477076</v>
      </c>
      <c r="AW20" s="1">
        <v>0.0</v>
      </c>
      <c r="AX20" s="1">
        <v>0.0</v>
      </c>
      <c r="AY20" s="1">
        <v>10.18920559</v>
      </c>
      <c r="AZ20" s="1">
        <v>27.2063596</v>
      </c>
      <c r="BA20" s="1">
        <v>10.8862516</v>
      </c>
      <c r="BB20" s="1">
        <v>0.0</v>
      </c>
      <c r="BC20" s="1">
        <v>0.0</v>
      </c>
      <c r="BD20" s="1">
        <v>-0.8453987206</v>
      </c>
      <c r="BE20" s="1">
        <v>1.140036549</v>
      </c>
      <c r="BF20" s="1">
        <v>27.72747095</v>
      </c>
      <c r="BG20" s="1">
        <v>4.811121907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0.0</v>
      </c>
      <c r="BN20" s="1">
        <v>0.0</v>
      </c>
      <c r="BO20" s="1">
        <v>0.0</v>
      </c>
      <c r="BP20" s="1">
        <v>0.0</v>
      </c>
      <c r="BQ20" s="1">
        <v>0.0</v>
      </c>
      <c r="BR20" s="1">
        <v>-5.817523847</v>
      </c>
      <c r="BS20" s="1">
        <v>-0.4044197424</v>
      </c>
      <c r="BT20" s="1">
        <v>15.22485878</v>
      </c>
      <c r="BU20" s="1">
        <v>1.786956192</v>
      </c>
      <c r="BV20" s="1">
        <v>1.334576052</v>
      </c>
      <c r="BW20" s="1">
        <v>6.404455568</v>
      </c>
      <c r="BX20" s="1">
        <v>-4.922035221</v>
      </c>
      <c r="BY20" s="1">
        <v>5.521393557</v>
      </c>
      <c r="BZ20" s="1">
        <v>0.0</v>
      </c>
      <c r="CA20" s="1">
        <v>0.0</v>
      </c>
      <c r="CB20" s="1">
        <v>0.0</v>
      </c>
      <c r="CC20" s="1">
        <v>-1.057742001</v>
      </c>
      <c r="CD20" s="1">
        <v>3.45529416</v>
      </c>
      <c r="CE20" s="1">
        <v>0.0</v>
      </c>
      <c r="CF20" s="1">
        <v>0.0</v>
      </c>
      <c r="CG20" s="1">
        <v>-0.04626165711</v>
      </c>
      <c r="CH20" s="1">
        <v>2.511840097</v>
      </c>
      <c r="CI20" s="1">
        <v>0.0</v>
      </c>
      <c r="CJ20" s="1">
        <v>0.0</v>
      </c>
      <c r="CK20" s="1">
        <v>1.781779122</v>
      </c>
      <c r="CL20" s="1">
        <v>2.577750089</v>
      </c>
      <c r="CM20" s="1">
        <v>1.781779122</v>
      </c>
      <c r="CN20" s="1">
        <v>1.023887572</v>
      </c>
      <c r="CO20" s="1">
        <v>2.382059442</v>
      </c>
      <c r="CP20" s="1">
        <v>0.3787581</v>
      </c>
      <c r="CQ20" s="1">
        <v>-0.190199041</v>
      </c>
      <c r="CR20" s="1">
        <v>0.05323464765</v>
      </c>
      <c r="CS20" s="1">
        <v>0.0</v>
      </c>
      <c r="CT20" s="1">
        <v>0.0</v>
      </c>
      <c r="CU20" s="1">
        <v>0.0</v>
      </c>
      <c r="CV20" s="1">
        <v>100.9881895</v>
      </c>
      <c r="CW20" s="1">
        <v>-174.3141685</v>
      </c>
      <c r="CX20" s="1">
        <v>-188.0520592</v>
      </c>
      <c r="CY20" s="1">
        <v>45.72574278</v>
      </c>
      <c r="CZ20" s="1">
        <v>1.078811096</v>
      </c>
      <c r="DA20" s="1">
        <v>0.452783073</v>
      </c>
      <c r="DB20" s="1">
        <v>3.46729652</v>
      </c>
      <c r="DC20" s="1">
        <v>1.083653023</v>
      </c>
      <c r="DD20" s="1">
        <v>13.0</v>
      </c>
      <c r="DE20" s="1">
        <v>1.162</v>
      </c>
      <c r="DF20" s="1">
        <v>100.0</v>
      </c>
      <c r="DG20" s="1">
        <v>8.80322371</v>
      </c>
      <c r="DH20" s="1">
        <v>0.1561031786</v>
      </c>
      <c r="DI20" s="1">
        <v>5.564073692</v>
      </c>
      <c r="DJ20" s="4">
        <v>2.89E-4</v>
      </c>
      <c r="DK20" s="1">
        <v>0.001264849786</v>
      </c>
      <c r="DL20" s="4">
        <v>8.43E-4</v>
      </c>
      <c r="DM20" s="4">
        <v>6.51E-4</v>
      </c>
      <c r="DN20" s="4">
        <v>3.2E-5</v>
      </c>
      <c r="DO20" s="1">
        <v>0.02019146636</v>
      </c>
    </row>
    <row r="21">
      <c r="A21" s="1">
        <v>1.3</v>
      </c>
      <c r="B21" s="1">
        <v>15.60125168</v>
      </c>
      <c r="C21" s="1">
        <v>34.9</v>
      </c>
      <c r="D21" s="1">
        <v>0.0</v>
      </c>
      <c r="E21" s="1" t="s">
        <v>125</v>
      </c>
      <c r="F21" s="1">
        <v>283.5561334</v>
      </c>
      <c r="G21" s="1">
        <v>162.1557358</v>
      </c>
      <c r="H21" s="1">
        <v>1.857066966</v>
      </c>
      <c r="I21" s="1">
        <v>1.006064797</v>
      </c>
      <c r="J21" s="1">
        <v>0.787294317</v>
      </c>
      <c r="K21" s="1">
        <v>0.4642006136</v>
      </c>
      <c r="L21" s="1">
        <v>1.748665454</v>
      </c>
      <c r="M21" s="1">
        <v>57.44298346</v>
      </c>
      <c r="N21" s="1">
        <v>42.55701654</v>
      </c>
      <c r="O21" s="1">
        <v>1.282645483</v>
      </c>
      <c r="P21" s="1">
        <v>0.1185495561</v>
      </c>
      <c r="Q21" s="1">
        <v>0.2684375893</v>
      </c>
      <c r="R21" s="1">
        <v>0.7938808501</v>
      </c>
      <c r="S21" s="1">
        <v>0.02788413944</v>
      </c>
      <c r="T21" s="1">
        <v>0.2103406912</v>
      </c>
      <c r="U21" s="1">
        <v>53.89559047</v>
      </c>
      <c r="V21" s="1">
        <v>24.10602475</v>
      </c>
      <c r="W21" s="1">
        <v>0.09109815151</v>
      </c>
      <c r="X21" s="1">
        <v>137.61176</v>
      </c>
      <c r="Y21" s="1">
        <v>34.02664367</v>
      </c>
      <c r="Z21" s="1">
        <v>101.610351</v>
      </c>
      <c r="AA21" s="1">
        <v>10.36046644</v>
      </c>
      <c r="AB21" s="1">
        <v>6.750813889</v>
      </c>
      <c r="AC21" s="1">
        <v>4.437654366</v>
      </c>
      <c r="AD21" s="1">
        <v>3.131114337</v>
      </c>
      <c r="AE21" s="1">
        <v>4.981054311</v>
      </c>
      <c r="AF21" s="1">
        <v>4.782713607</v>
      </c>
      <c r="AG21" s="1">
        <v>3.099211928</v>
      </c>
      <c r="AH21" s="1">
        <v>4.347270188</v>
      </c>
      <c r="AI21" s="1">
        <v>5.437658515</v>
      </c>
      <c r="AJ21" s="1">
        <v>0.9259413928</v>
      </c>
      <c r="AK21" s="1">
        <v>0.6205211032</v>
      </c>
      <c r="AL21" s="1">
        <v>9.774897538</v>
      </c>
      <c r="AM21" s="1">
        <v>0.9250938747</v>
      </c>
      <c r="AN21" s="1">
        <v>0.5537201952</v>
      </c>
      <c r="AO21" s="1">
        <v>4.462262539</v>
      </c>
      <c r="AP21" s="1">
        <v>0.0</v>
      </c>
      <c r="AQ21" s="1">
        <v>0.0</v>
      </c>
      <c r="AR21" s="1">
        <v>139.926816</v>
      </c>
      <c r="AS21" s="1">
        <v>79.42066486</v>
      </c>
      <c r="AT21" s="1">
        <v>101.9944228</v>
      </c>
      <c r="AU21" s="1">
        <v>34.27604504</v>
      </c>
      <c r="AV21" s="1">
        <v>2.496947222</v>
      </c>
      <c r="AW21" s="1">
        <v>0.0</v>
      </c>
      <c r="AX21" s="1">
        <v>0.0</v>
      </c>
      <c r="AY21" s="1">
        <v>16.86638836</v>
      </c>
      <c r="AZ21" s="1">
        <v>43.56241346</v>
      </c>
      <c r="BA21" s="1">
        <v>17.12527883</v>
      </c>
      <c r="BB21" s="1">
        <v>0.0</v>
      </c>
      <c r="BC21" s="1">
        <v>0.0</v>
      </c>
      <c r="BD21" s="1">
        <v>-1.337546339</v>
      </c>
      <c r="BE21" s="1">
        <v>1.86658422</v>
      </c>
      <c r="BF21" s="1">
        <v>46.74390769</v>
      </c>
      <c r="BG21" s="1">
        <v>8.441249269</v>
      </c>
      <c r="BH21" s="1">
        <v>0.0</v>
      </c>
      <c r="BI21" s="1">
        <v>0.0</v>
      </c>
      <c r="BJ21" s="1">
        <v>0.0</v>
      </c>
      <c r="BK21" s="1">
        <v>0.0</v>
      </c>
      <c r="BL21" s="1">
        <v>0.0</v>
      </c>
      <c r="BM21" s="1">
        <v>0.0</v>
      </c>
      <c r="BN21" s="1">
        <v>0.0</v>
      </c>
      <c r="BO21" s="1">
        <v>0.0</v>
      </c>
      <c r="BP21" s="1">
        <v>0.0</v>
      </c>
      <c r="BQ21" s="1">
        <v>0.0</v>
      </c>
      <c r="BR21" s="1">
        <v>-9.16990049</v>
      </c>
      <c r="BS21" s="1">
        <v>-0.7113320474</v>
      </c>
      <c r="BT21" s="1">
        <v>23.49300024</v>
      </c>
      <c r="BU21" s="1">
        <v>2.54367569</v>
      </c>
      <c r="BV21" s="1">
        <v>1.73503887</v>
      </c>
      <c r="BW21" s="1">
        <v>9.562299245</v>
      </c>
      <c r="BX21" s="1">
        <v>-5.932984082</v>
      </c>
      <c r="BY21" s="1">
        <v>9.791905894</v>
      </c>
      <c r="BZ21" s="1">
        <v>0.0</v>
      </c>
      <c r="CA21" s="1">
        <v>0.0</v>
      </c>
      <c r="CB21" s="1">
        <v>0.0</v>
      </c>
      <c r="CC21" s="1">
        <v>-1.841935627</v>
      </c>
      <c r="CD21" s="1">
        <v>5.721562294</v>
      </c>
      <c r="CE21" s="1">
        <v>0.0</v>
      </c>
      <c r="CF21" s="1">
        <v>0.0</v>
      </c>
      <c r="CG21" s="1">
        <v>-0.05510438669</v>
      </c>
      <c r="CH21" s="1">
        <v>4.10612075</v>
      </c>
      <c r="CI21" s="1">
        <v>0.0</v>
      </c>
      <c r="CJ21" s="1">
        <v>0.0</v>
      </c>
      <c r="CK21" s="1">
        <v>2.560473307</v>
      </c>
      <c r="CL21" s="1">
        <v>3.988666877</v>
      </c>
      <c r="CM21" s="1">
        <v>2.560473307</v>
      </c>
      <c r="CN21" s="1">
        <v>1.655010473</v>
      </c>
      <c r="CO21" s="1">
        <v>3.71962049</v>
      </c>
      <c r="CP21" s="1">
        <v>0.6404528545</v>
      </c>
      <c r="CQ21" s="1">
        <v>-0.2657924522</v>
      </c>
      <c r="CR21" s="1">
        <v>0.06505689899</v>
      </c>
      <c r="CS21" s="1">
        <v>0.0</v>
      </c>
      <c r="CT21" s="1">
        <v>0.0</v>
      </c>
      <c r="CU21" s="1">
        <v>0.0</v>
      </c>
      <c r="CV21" s="1">
        <v>162.1557358</v>
      </c>
      <c r="CW21" s="1">
        <v>-283.5561334</v>
      </c>
      <c r="CX21" s="1">
        <v>-300.3645089</v>
      </c>
      <c r="CY21" s="1">
        <v>73.40258924</v>
      </c>
      <c r="CZ21" s="1">
        <v>1.059277066</v>
      </c>
      <c r="DA21" s="1">
        <v>0.4526672392</v>
      </c>
      <c r="DB21" s="1">
        <v>3.46729652</v>
      </c>
      <c r="DC21" s="1">
        <v>1.083653023</v>
      </c>
      <c r="DD21" s="1">
        <v>16.0</v>
      </c>
      <c r="DE21" s="1">
        <v>1.162</v>
      </c>
      <c r="DF21" s="1">
        <v>100.0</v>
      </c>
      <c r="DG21" s="1">
        <v>7.8557535</v>
      </c>
      <c r="DH21" s="1">
        <v>0.1420372598</v>
      </c>
      <c r="DI21" s="1">
        <v>5.062714211</v>
      </c>
      <c r="DJ21" s="4">
        <v>5.7E-4</v>
      </c>
      <c r="DK21" s="1">
        <v>0.00348716223</v>
      </c>
      <c r="DL21" s="1">
        <v>0.002081821441</v>
      </c>
      <c r="DM21" s="1">
        <v>0.001618694495</v>
      </c>
      <c r="DN21" s="4">
        <v>2.99E-5</v>
      </c>
      <c r="DO21" s="1">
        <v>0.02054486373</v>
      </c>
    </row>
    <row r="22">
      <c r="A22" s="1">
        <v>1.4</v>
      </c>
      <c r="B22" s="1">
        <v>18.10460438</v>
      </c>
      <c r="C22" s="1">
        <v>40.5</v>
      </c>
      <c r="D22" s="1">
        <v>0.0</v>
      </c>
      <c r="E22" s="1" t="s">
        <v>125</v>
      </c>
      <c r="F22" s="1">
        <v>325.2998353</v>
      </c>
      <c r="G22" s="1">
        <v>187.7242612</v>
      </c>
      <c r="H22" s="1">
        <v>1.582024372</v>
      </c>
      <c r="I22" s="1">
        <v>0.9202567525</v>
      </c>
      <c r="J22" s="1">
        <v>0.7136361943</v>
      </c>
      <c r="K22" s="1">
        <v>0.4246085844</v>
      </c>
      <c r="L22" s="1">
        <v>1.732859851</v>
      </c>
      <c r="M22" s="1">
        <v>56.73477034</v>
      </c>
      <c r="N22" s="1">
        <v>43.26522966</v>
      </c>
      <c r="O22" s="1">
        <v>1.260940629</v>
      </c>
      <c r="P22" s="1">
        <v>0.09445855692</v>
      </c>
      <c r="Q22" s="1">
        <v>0.2437395556</v>
      </c>
      <c r="R22" s="1">
        <v>0.7748318694</v>
      </c>
      <c r="S22" s="1">
        <v>0.02328257468</v>
      </c>
      <c r="T22" s="1">
        <v>0.1969282525</v>
      </c>
      <c r="U22" s="1">
        <v>53.67065965</v>
      </c>
      <c r="V22" s="1">
        <v>20.13297717</v>
      </c>
      <c r="W22" s="1">
        <v>0.08360207706</v>
      </c>
      <c r="X22" s="1">
        <v>158.9393954</v>
      </c>
      <c r="Y22" s="1">
        <v>40.52086632</v>
      </c>
      <c r="Z22" s="1">
        <v>116.3333923</v>
      </c>
      <c r="AA22" s="1">
        <v>12.32022118</v>
      </c>
      <c r="AB22" s="1">
        <v>7.902726513</v>
      </c>
      <c r="AC22" s="1">
        <v>5.351973308</v>
      </c>
      <c r="AD22" s="1">
        <v>3.665053752</v>
      </c>
      <c r="AE22" s="1">
        <v>6.23844304</v>
      </c>
      <c r="AF22" s="1">
        <v>5.622737148</v>
      </c>
      <c r="AG22" s="1">
        <v>3.561546135</v>
      </c>
      <c r="AH22" s="1">
        <v>5.232005274</v>
      </c>
      <c r="AI22" s="1">
        <v>6.389538969</v>
      </c>
      <c r="AJ22" s="1">
        <v>1.118212683</v>
      </c>
      <c r="AK22" s="1">
        <v>0.7383260319</v>
      </c>
      <c r="AL22" s="1">
        <v>11.5094896</v>
      </c>
      <c r="AM22" s="1">
        <v>1.106134755</v>
      </c>
      <c r="AN22" s="1">
        <v>0.6342690462</v>
      </c>
      <c r="AO22" s="1">
        <v>5.346652986</v>
      </c>
      <c r="AP22" s="1">
        <v>0.0</v>
      </c>
      <c r="AQ22" s="1">
        <v>0.0</v>
      </c>
      <c r="AR22" s="1">
        <v>164.3580466</v>
      </c>
      <c r="AS22" s="1">
        <v>91.95696808</v>
      </c>
      <c r="AT22" s="1">
        <v>119.9624389</v>
      </c>
      <c r="AU22" s="1">
        <v>40.19310686</v>
      </c>
      <c r="AV22" s="1">
        <v>2.859189725</v>
      </c>
      <c r="AW22" s="1">
        <v>0.0</v>
      </c>
      <c r="AX22" s="1">
        <v>0.0</v>
      </c>
      <c r="AY22" s="1">
        <v>18.47135191</v>
      </c>
      <c r="AZ22" s="1">
        <v>50.81071616</v>
      </c>
      <c r="BA22" s="1">
        <v>20.59893101</v>
      </c>
      <c r="BB22" s="1">
        <v>0.0</v>
      </c>
      <c r="BC22" s="1">
        <v>0.0</v>
      </c>
      <c r="BD22" s="1">
        <v>-1.515878653</v>
      </c>
      <c r="BE22" s="1">
        <v>2.07596901</v>
      </c>
      <c r="BF22" s="1">
        <v>48.21431442</v>
      </c>
      <c r="BG22" s="1">
        <v>9.153477798</v>
      </c>
      <c r="BH22" s="1">
        <v>0.0</v>
      </c>
      <c r="BI22" s="1">
        <v>0.0</v>
      </c>
      <c r="BJ22" s="1">
        <v>0.0</v>
      </c>
      <c r="BK22" s="1">
        <v>0.0</v>
      </c>
      <c r="BL22" s="1">
        <v>0.0</v>
      </c>
      <c r="BM22" s="1">
        <v>0.0</v>
      </c>
      <c r="BN22" s="1">
        <v>0.0</v>
      </c>
      <c r="BO22" s="1">
        <v>0.0</v>
      </c>
      <c r="BP22" s="1">
        <v>0.0</v>
      </c>
      <c r="BQ22" s="1">
        <v>0.0</v>
      </c>
      <c r="BR22" s="1">
        <v>-10.80011289</v>
      </c>
      <c r="BS22" s="1">
        <v>-0.7033227432</v>
      </c>
      <c r="BT22" s="1">
        <v>26.95771665</v>
      </c>
      <c r="BU22" s="1">
        <v>2.988105584</v>
      </c>
      <c r="BV22" s="1">
        <v>1.768929316</v>
      </c>
      <c r="BW22" s="1">
        <v>10.81728009</v>
      </c>
      <c r="BX22" s="1">
        <v>-9.593639457</v>
      </c>
      <c r="BY22" s="1">
        <v>11.57616018</v>
      </c>
      <c r="BZ22" s="1">
        <v>0.0</v>
      </c>
      <c r="CA22" s="1">
        <v>0.0</v>
      </c>
      <c r="CB22" s="1">
        <v>0.0</v>
      </c>
      <c r="CC22" s="1">
        <v>-1.968641199</v>
      </c>
      <c r="CD22" s="1">
        <v>6.346942467</v>
      </c>
      <c r="CE22" s="1">
        <v>0.0</v>
      </c>
      <c r="CF22" s="1">
        <v>0.0</v>
      </c>
      <c r="CG22" s="1">
        <v>-0.04262523918</v>
      </c>
      <c r="CH22" s="1">
        <v>4.61602251</v>
      </c>
      <c r="CI22" s="1">
        <v>0.0</v>
      </c>
      <c r="CJ22" s="1">
        <v>0.0</v>
      </c>
      <c r="CK22" s="1">
        <v>3.054267978</v>
      </c>
      <c r="CL22" s="1">
        <v>4.285184706</v>
      </c>
      <c r="CM22" s="1">
        <v>3.054267978</v>
      </c>
      <c r="CN22" s="1">
        <v>1.882026496</v>
      </c>
      <c r="CO22" s="1">
        <v>4.589807812</v>
      </c>
      <c r="CP22" s="1">
        <v>0.8092287127</v>
      </c>
      <c r="CQ22" s="1">
        <v>-0.3668673244</v>
      </c>
      <c r="CR22" s="1">
        <v>0.0753179041</v>
      </c>
      <c r="CS22" s="1">
        <v>0.0</v>
      </c>
      <c r="CT22" s="1">
        <v>0.0</v>
      </c>
      <c r="CU22" s="1">
        <v>0.0</v>
      </c>
      <c r="CV22" s="1">
        <v>187.7242612</v>
      </c>
      <c r="CW22" s="1">
        <v>-325.2998353</v>
      </c>
      <c r="CX22" s="1">
        <v>-349.1704029</v>
      </c>
      <c r="CY22" s="1">
        <v>85.44985185</v>
      </c>
      <c r="CZ22" s="1">
        <v>1.073380202</v>
      </c>
      <c r="DA22" s="1">
        <v>0.4551881109</v>
      </c>
      <c r="DB22" s="1">
        <v>3.46729652</v>
      </c>
      <c r="DC22" s="1">
        <v>1.083653023</v>
      </c>
      <c r="DD22" s="1">
        <v>18.0</v>
      </c>
      <c r="DE22" s="1">
        <v>1.162</v>
      </c>
      <c r="DF22" s="1">
        <v>100.0</v>
      </c>
      <c r="DG22" s="1">
        <v>9.319455324</v>
      </c>
      <c r="DH22" s="1">
        <v>0.216813124</v>
      </c>
      <c r="DI22" s="1">
        <v>7.727992539</v>
      </c>
      <c r="DJ22" s="1">
        <v>0.001048662756</v>
      </c>
      <c r="DK22" s="1">
        <v>0.007051969866</v>
      </c>
      <c r="DL22" s="1">
        <v>0.00819826155</v>
      </c>
      <c r="DM22" s="1">
        <v>0.007522715062</v>
      </c>
      <c r="DN22" s="1">
        <v>0.001494641045</v>
      </c>
      <c r="DO22" s="1">
        <v>0.1641322637</v>
      </c>
    </row>
    <row r="23">
      <c r="A23" s="1">
        <v>1.5</v>
      </c>
      <c r="B23" s="1">
        <v>20.69736254</v>
      </c>
      <c r="C23" s="1">
        <v>46.3</v>
      </c>
      <c r="D23" s="1">
        <v>0.0</v>
      </c>
      <c r="E23" s="1" t="s">
        <v>125</v>
      </c>
      <c r="F23" s="1">
        <v>498.2341392</v>
      </c>
      <c r="G23" s="1">
        <v>278.591616</v>
      </c>
      <c r="H23" s="1">
        <v>1.854004881</v>
      </c>
      <c r="I23" s="1">
        <v>1.003374526</v>
      </c>
      <c r="J23" s="1">
        <v>0.8030321399</v>
      </c>
      <c r="K23" s="1">
        <v>0.4629593165</v>
      </c>
      <c r="L23" s="1">
        <v>1.788403206</v>
      </c>
      <c r="M23" s="1">
        <v>57.27547108</v>
      </c>
      <c r="N23" s="1">
        <v>42.72452892</v>
      </c>
      <c r="O23" s="1">
        <v>1.402161027</v>
      </c>
      <c r="P23" s="1">
        <v>0.1126651958</v>
      </c>
      <c r="Q23" s="1">
        <v>0.2393850345</v>
      </c>
      <c r="R23" s="1">
        <v>0.8276058434</v>
      </c>
      <c r="S23" s="1">
        <v>0.026218785</v>
      </c>
      <c r="T23" s="1">
        <v>0.1956512977</v>
      </c>
      <c r="U23" s="1">
        <v>54.7438633</v>
      </c>
      <c r="V23" s="1">
        <v>15.42739241</v>
      </c>
      <c r="W23" s="1">
        <v>0.07174816872</v>
      </c>
      <c r="X23" s="1">
        <v>239.6889331</v>
      </c>
      <c r="Y23" s="1">
        <v>58.6621631</v>
      </c>
      <c r="Z23" s="1">
        <v>177.3679667</v>
      </c>
      <c r="AA23" s="1">
        <v>17.96593578</v>
      </c>
      <c r="AB23" s="1">
        <v>11.66845367</v>
      </c>
      <c r="AC23" s="1">
        <v>7.674004413</v>
      </c>
      <c r="AD23" s="1">
        <v>5.48978645</v>
      </c>
      <c r="AE23" s="1">
        <v>8.243571692</v>
      </c>
      <c r="AF23" s="1">
        <v>8.296595952</v>
      </c>
      <c r="AG23" s="1">
        <v>5.328985441</v>
      </c>
      <c r="AH23" s="1">
        <v>7.505039541</v>
      </c>
      <c r="AI23" s="1">
        <v>9.56797643</v>
      </c>
      <c r="AJ23" s="1">
        <v>1.598972219</v>
      </c>
      <c r="AK23" s="1">
        <v>1.096746402</v>
      </c>
      <c r="AL23" s="1">
        <v>16.82706752</v>
      </c>
      <c r="AM23" s="1">
        <v>1.571468778</v>
      </c>
      <c r="AN23" s="1">
        <v>0.9621480219</v>
      </c>
      <c r="AO23" s="1">
        <v>7.61840082</v>
      </c>
      <c r="AP23" s="1">
        <v>0.0</v>
      </c>
      <c r="AQ23" s="1">
        <v>0.0</v>
      </c>
      <c r="AR23" s="1">
        <v>242.3639849</v>
      </c>
      <c r="AS23" s="1">
        <v>135.9751499</v>
      </c>
      <c r="AT23" s="1">
        <v>176.8779578</v>
      </c>
      <c r="AU23" s="1">
        <v>59.16274529</v>
      </c>
      <c r="AV23" s="1">
        <v>4.314105784</v>
      </c>
      <c r="AW23" s="1">
        <v>0.0</v>
      </c>
      <c r="AX23" s="1">
        <v>0.0</v>
      </c>
      <c r="AY23" s="1">
        <v>28.25937041</v>
      </c>
      <c r="AZ23" s="1">
        <v>75.09255235</v>
      </c>
      <c r="BA23" s="1">
        <v>29.50169647</v>
      </c>
      <c r="BB23" s="1">
        <v>0.0</v>
      </c>
      <c r="BC23" s="1">
        <v>0.0</v>
      </c>
      <c r="BD23" s="1">
        <v>-2.304929807</v>
      </c>
      <c r="BE23" s="1">
        <v>3.121530638</v>
      </c>
      <c r="BF23" s="1">
        <v>86.81508848</v>
      </c>
      <c r="BG23" s="1">
        <v>15.39445805</v>
      </c>
      <c r="BH23" s="1">
        <v>0.0</v>
      </c>
      <c r="BI23" s="1">
        <v>0.0</v>
      </c>
      <c r="BJ23" s="1">
        <v>0.0</v>
      </c>
      <c r="BK23" s="1">
        <v>0.0</v>
      </c>
      <c r="BL23" s="1">
        <v>0.0</v>
      </c>
      <c r="BM23" s="1">
        <v>0.0</v>
      </c>
      <c r="BN23" s="1">
        <v>0.0</v>
      </c>
      <c r="BO23" s="1">
        <v>0.0</v>
      </c>
      <c r="BP23" s="1">
        <v>0.0</v>
      </c>
      <c r="BQ23" s="1">
        <v>0.0</v>
      </c>
      <c r="BR23" s="1">
        <v>-15.77178746</v>
      </c>
      <c r="BS23" s="1">
        <v>-1.251685317</v>
      </c>
      <c r="BT23" s="1">
        <v>45.30899098</v>
      </c>
      <c r="BU23" s="1">
        <v>4.962898028</v>
      </c>
      <c r="BV23" s="1">
        <v>5.279840009</v>
      </c>
      <c r="BW23" s="1">
        <v>19.34772572</v>
      </c>
      <c r="BX23" s="1">
        <v>-13.87162572</v>
      </c>
      <c r="BY23" s="1">
        <v>14.17993113</v>
      </c>
      <c r="BZ23" s="1">
        <v>0.0</v>
      </c>
      <c r="CA23" s="1">
        <v>0.0</v>
      </c>
      <c r="CB23" s="1">
        <v>0.0</v>
      </c>
      <c r="CC23" s="1">
        <v>-3.200378515</v>
      </c>
      <c r="CD23" s="1">
        <v>9.579800462</v>
      </c>
      <c r="CE23" s="1">
        <v>0.0</v>
      </c>
      <c r="CF23" s="1">
        <v>0.0</v>
      </c>
      <c r="CG23" s="1">
        <v>-0.1700779171</v>
      </c>
      <c r="CH23" s="1">
        <v>7.06322543</v>
      </c>
      <c r="CI23" s="1">
        <v>0.0</v>
      </c>
      <c r="CJ23" s="1">
        <v>0.0</v>
      </c>
      <c r="CK23" s="1">
        <v>4.115271521</v>
      </c>
      <c r="CL23" s="1">
        <v>6.27027574</v>
      </c>
      <c r="CM23" s="1">
        <v>4.115271521</v>
      </c>
      <c r="CN23" s="1">
        <v>2.799622488</v>
      </c>
      <c r="CO23" s="1">
        <v>6.459770265</v>
      </c>
      <c r="CP23" s="1">
        <v>1.320836185</v>
      </c>
      <c r="CQ23" s="1">
        <v>-0.4724094879</v>
      </c>
      <c r="CR23" s="1">
        <v>0.08734802283</v>
      </c>
      <c r="CS23" s="1">
        <v>0.0</v>
      </c>
      <c r="CT23" s="1">
        <v>0.0</v>
      </c>
      <c r="CU23" s="1">
        <v>0.0</v>
      </c>
      <c r="CV23" s="1">
        <v>278.591616</v>
      </c>
      <c r="CW23" s="1">
        <v>-498.2341392</v>
      </c>
      <c r="CX23" s="1">
        <v>-529.4300012</v>
      </c>
      <c r="CY23" s="1">
        <v>125.9403209</v>
      </c>
      <c r="CZ23" s="1">
        <v>1.062612855</v>
      </c>
      <c r="DA23" s="1">
        <v>0.4520606999</v>
      </c>
      <c r="DB23" s="1">
        <v>3.46729652</v>
      </c>
      <c r="DC23" s="1">
        <v>1.083653023</v>
      </c>
      <c r="DD23" s="1">
        <v>21.0</v>
      </c>
      <c r="DE23" s="1">
        <v>1.162</v>
      </c>
      <c r="DF23" s="1">
        <v>100.0</v>
      </c>
      <c r="DG23" s="1">
        <v>8.82547501</v>
      </c>
      <c r="DH23" s="1">
        <v>0.1996412798</v>
      </c>
      <c r="DI23" s="1">
        <v>7.115926803</v>
      </c>
      <c r="DJ23" s="4">
        <v>5.64E-4</v>
      </c>
      <c r="DK23" s="1">
        <v>0.00501330954</v>
      </c>
      <c r="DL23" s="1">
        <v>0.00265591324</v>
      </c>
      <c r="DM23" s="1">
        <v>0.002256169341</v>
      </c>
      <c r="DN23" s="4">
        <v>1.76E-5</v>
      </c>
      <c r="DO23" s="1">
        <v>0.01112889524</v>
      </c>
    </row>
    <row r="24">
      <c r="A24" s="1">
        <v>2.1</v>
      </c>
      <c r="B24" s="1">
        <v>10.41573536</v>
      </c>
      <c r="C24" s="1">
        <v>23.3</v>
      </c>
      <c r="D24" s="1">
        <v>0.0</v>
      </c>
      <c r="E24" s="1" t="s">
        <v>125</v>
      </c>
      <c r="F24" s="1">
        <v>110.569002</v>
      </c>
      <c r="G24" s="1">
        <v>62.73860164</v>
      </c>
      <c r="H24" s="1">
        <v>1.624654136</v>
      </c>
      <c r="I24" s="1">
        <v>0.9964797184</v>
      </c>
      <c r="J24" s="1">
        <v>0.7859075273</v>
      </c>
      <c r="K24" s="1">
        <v>0.4597780364</v>
      </c>
      <c r="L24" s="1">
        <v>1.76237594</v>
      </c>
      <c r="M24" s="1">
        <v>57.43557542</v>
      </c>
      <c r="N24" s="1">
        <v>42.56442458</v>
      </c>
      <c r="O24" s="1">
        <v>1.299990076</v>
      </c>
      <c r="P24" s="1">
        <v>0.1312165462</v>
      </c>
      <c r="Q24" s="1">
        <v>0.2786469311</v>
      </c>
      <c r="R24" s="1">
        <v>0.8108845924</v>
      </c>
      <c r="S24" s="1">
        <v>0.02838633352</v>
      </c>
      <c r="T24" s="1">
        <v>0.2077761057</v>
      </c>
      <c r="U24" s="1">
        <v>53.53592042</v>
      </c>
      <c r="V24" s="1">
        <v>32.19156343</v>
      </c>
      <c r="W24" s="1">
        <v>0.1059804504</v>
      </c>
      <c r="X24" s="1">
        <v>53.07743566</v>
      </c>
      <c r="Y24" s="1">
        <v>13.1771249</v>
      </c>
      <c r="Z24" s="1">
        <v>39.28022904</v>
      </c>
      <c r="AA24" s="1">
        <v>3.98258183</v>
      </c>
      <c r="AB24" s="1">
        <v>2.590143227</v>
      </c>
      <c r="AC24" s="1">
        <v>1.703470786</v>
      </c>
      <c r="AD24" s="1">
        <v>1.18040279</v>
      </c>
      <c r="AE24" s="1">
        <v>2.022634004</v>
      </c>
      <c r="AF24" s="1">
        <v>1.84302713</v>
      </c>
      <c r="AG24" s="1">
        <v>1.193639591</v>
      </c>
      <c r="AH24" s="1">
        <v>1.67641295</v>
      </c>
      <c r="AI24" s="1">
        <v>2.064676207</v>
      </c>
      <c r="AJ24" s="1">
        <v>0.3563823181</v>
      </c>
      <c r="AK24" s="1">
        <v>0.2357344184</v>
      </c>
      <c r="AL24" s="1">
        <v>3.748491242</v>
      </c>
      <c r="AM24" s="1">
        <v>0.3617412235</v>
      </c>
      <c r="AN24" s="1">
        <v>0.2149463216</v>
      </c>
      <c r="AO24" s="1">
        <v>1.735371264</v>
      </c>
      <c r="AP24" s="1">
        <v>0.0</v>
      </c>
      <c r="AQ24" s="1">
        <v>0.0</v>
      </c>
      <c r="AR24" s="1">
        <v>52.96435114</v>
      </c>
      <c r="AS24" s="1">
        <v>30.04318121</v>
      </c>
      <c r="AT24" s="1">
        <v>38.76196919</v>
      </c>
      <c r="AU24" s="1">
        <v>12.89151231</v>
      </c>
      <c r="AV24" s="1">
        <v>0.9146900005</v>
      </c>
      <c r="AW24" s="1">
        <v>0.0</v>
      </c>
      <c r="AX24" s="1">
        <v>0.0</v>
      </c>
      <c r="AY24" s="1">
        <v>6.378062067</v>
      </c>
      <c r="AZ24" s="1">
        <v>16.45688166</v>
      </c>
      <c r="BA24" s="1">
        <v>6.491607226</v>
      </c>
      <c r="BB24" s="1">
        <v>0.0</v>
      </c>
      <c r="BC24" s="1">
        <v>0.0</v>
      </c>
      <c r="BD24" s="1">
        <v>-0.5185103683</v>
      </c>
      <c r="BE24" s="1">
        <v>0.7166302563</v>
      </c>
      <c r="BF24" s="1">
        <v>19.89723467</v>
      </c>
      <c r="BG24" s="1">
        <v>3.230395138</v>
      </c>
      <c r="BH24" s="1">
        <v>0.0</v>
      </c>
      <c r="BI24" s="1">
        <v>0.0</v>
      </c>
      <c r="BJ24" s="1">
        <v>0.0</v>
      </c>
      <c r="BK24" s="1">
        <v>0.0</v>
      </c>
      <c r="BL24" s="1">
        <v>0.0</v>
      </c>
      <c r="BM24" s="1">
        <v>0.0</v>
      </c>
      <c r="BN24" s="1">
        <v>0.0</v>
      </c>
      <c r="BO24" s="1">
        <v>0.0</v>
      </c>
      <c r="BP24" s="1">
        <v>0.0</v>
      </c>
      <c r="BQ24" s="1">
        <v>0.0</v>
      </c>
      <c r="BR24" s="1">
        <v>-3.556685709</v>
      </c>
      <c r="BS24" s="1">
        <v>-0.2546888617</v>
      </c>
      <c r="BT24" s="1">
        <v>10.22894322</v>
      </c>
      <c r="BU24" s="1">
        <v>1.230971642</v>
      </c>
      <c r="BV24" s="1">
        <v>0.7193623929</v>
      </c>
      <c r="BW24" s="1">
        <v>3.77355502</v>
      </c>
      <c r="BX24" s="1">
        <v>-1.601220245</v>
      </c>
      <c r="BY24" s="1">
        <v>3.528368056</v>
      </c>
      <c r="BZ24" s="1">
        <v>0.0</v>
      </c>
      <c r="CA24" s="1">
        <v>0.0</v>
      </c>
      <c r="CB24" s="1">
        <v>0.0</v>
      </c>
      <c r="CC24" s="1">
        <v>-0.6901289416</v>
      </c>
      <c r="CD24" s="1">
        <v>2.233183079</v>
      </c>
      <c r="CE24" s="1">
        <v>0.0</v>
      </c>
      <c r="CF24" s="1">
        <v>0.0</v>
      </c>
      <c r="CG24" s="1">
        <v>-0.0252120994</v>
      </c>
      <c r="CH24" s="1">
        <v>1.568806399</v>
      </c>
      <c r="CI24" s="1">
        <v>0.0</v>
      </c>
      <c r="CJ24" s="1">
        <v>0.0</v>
      </c>
      <c r="CK24" s="1">
        <v>1.141244503</v>
      </c>
      <c r="CL24" s="1">
        <v>1.916077416</v>
      </c>
      <c r="CM24" s="1">
        <v>1.141244503</v>
      </c>
      <c r="CN24" s="1">
        <v>0.6520121812</v>
      </c>
      <c r="CO24" s="1">
        <v>1.414314469</v>
      </c>
      <c r="CP24" s="1">
        <v>0.2281607195</v>
      </c>
      <c r="CQ24" s="1">
        <v>-0.1038804399</v>
      </c>
      <c r="CR24" s="1">
        <v>0.04035363187</v>
      </c>
      <c r="CS24" s="1">
        <v>0.0</v>
      </c>
      <c r="CT24" s="1">
        <v>0.0</v>
      </c>
      <c r="CU24" s="1">
        <v>0.0</v>
      </c>
      <c r="CV24" s="1">
        <v>62.73860164</v>
      </c>
      <c r="CW24" s="1">
        <v>-110.569002</v>
      </c>
      <c r="CX24" s="1">
        <v>-117.1395193</v>
      </c>
      <c r="CY24" s="1">
        <v>27.78077491</v>
      </c>
      <c r="CZ24" s="1">
        <v>1.059424587</v>
      </c>
      <c r="DA24" s="1">
        <v>0.4428019463</v>
      </c>
      <c r="DB24" s="1">
        <v>3.46729652</v>
      </c>
      <c r="DC24" s="1">
        <v>1.083653023</v>
      </c>
      <c r="DD24" s="1">
        <v>10.0</v>
      </c>
      <c r="DE24" s="1">
        <v>1.162</v>
      </c>
      <c r="DF24" s="1">
        <v>100.0</v>
      </c>
      <c r="DG24" s="1">
        <v>8.909120831</v>
      </c>
      <c r="DH24" s="1">
        <v>0.1520699023</v>
      </c>
      <c r="DI24" s="1">
        <v>5.420313349</v>
      </c>
      <c r="DJ24" s="4">
        <v>4.6E-4</v>
      </c>
      <c r="DK24" s="1">
        <v>0.001813560858</v>
      </c>
      <c r="DL24" s="1">
        <v>0.001299763558</v>
      </c>
      <c r="DM24" s="1">
        <v>0.00169244725</v>
      </c>
      <c r="DN24" s="4">
        <v>4.45E-5</v>
      </c>
      <c r="DO24" s="1">
        <v>0.01972971135</v>
      </c>
    </row>
    <row r="25">
      <c r="A25" s="1">
        <v>2.3</v>
      </c>
      <c r="B25" s="1">
        <v>10.41573536</v>
      </c>
      <c r="C25" s="1">
        <v>23.3</v>
      </c>
      <c r="D25" s="1">
        <v>6.0</v>
      </c>
      <c r="E25" s="1" t="s">
        <v>135</v>
      </c>
      <c r="F25" s="1">
        <v>201.2655376</v>
      </c>
      <c r="G25" s="1">
        <v>89.18406957</v>
      </c>
      <c r="H25" s="1">
        <v>2.957310658</v>
      </c>
      <c r="I25" s="1">
        <v>1.305402456</v>
      </c>
      <c r="J25" s="1">
        <v>1.318350722</v>
      </c>
      <c r="K25" s="1">
        <v>0.6021817287</v>
      </c>
      <c r="L25" s="1">
        <v>2.256743144</v>
      </c>
      <c r="M25" s="1">
        <v>58.12697863</v>
      </c>
      <c r="N25" s="1">
        <v>41.87302137</v>
      </c>
      <c r="O25" s="1">
        <v>2.867920893</v>
      </c>
      <c r="P25" s="4">
        <v>3.09E-5</v>
      </c>
      <c r="Q25" s="1">
        <v>0.001938860838</v>
      </c>
      <c r="R25" s="1">
        <v>1.302315666</v>
      </c>
      <c r="S25" s="4">
        <v>3.79E-6</v>
      </c>
      <c r="T25" s="1">
        <v>0.001495267559</v>
      </c>
      <c r="U25" s="1">
        <v>58.17314389</v>
      </c>
      <c r="V25" s="4">
        <v>2.37E-4</v>
      </c>
      <c r="W25" s="4">
        <v>2.64E-4</v>
      </c>
      <c r="X25" s="1">
        <v>79.22967953</v>
      </c>
      <c r="Y25" s="1">
        <v>17.86009185</v>
      </c>
      <c r="Z25" s="1">
        <v>58.81598816</v>
      </c>
      <c r="AA25" s="1">
        <v>5.470536845</v>
      </c>
      <c r="AB25" s="1">
        <v>4.009020534</v>
      </c>
      <c r="AC25" s="1">
        <v>2.274186411</v>
      </c>
      <c r="AD25" s="1">
        <v>1.841377708</v>
      </c>
      <c r="AE25" s="1">
        <v>2.204024273</v>
      </c>
      <c r="AF25" s="1">
        <v>2.574520595</v>
      </c>
      <c r="AG25" s="1">
        <v>1.85076308</v>
      </c>
      <c r="AH25" s="1">
        <v>2.190276627</v>
      </c>
      <c r="AI25" s="1">
        <v>2.977684809</v>
      </c>
      <c r="AJ25" s="1">
        <v>0.4444445118</v>
      </c>
      <c r="AK25" s="1">
        <v>0.3569855532</v>
      </c>
      <c r="AL25" s="1">
        <v>6.017139797</v>
      </c>
      <c r="AM25" s="1">
        <v>0.4074884016</v>
      </c>
      <c r="AN25" s="1">
        <v>0.3191031106</v>
      </c>
      <c r="AO25" s="1">
        <v>2.35854614</v>
      </c>
      <c r="AP25" s="1">
        <v>0.0</v>
      </c>
      <c r="AQ25" s="1">
        <v>0.0</v>
      </c>
      <c r="AR25" s="1">
        <v>82.70367139</v>
      </c>
      <c r="AS25" s="1">
        <v>41.38092685</v>
      </c>
      <c r="AT25" s="1">
        <v>63.13400636</v>
      </c>
      <c r="AU25" s="1">
        <v>17.56757227</v>
      </c>
      <c r="AV25" s="1">
        <v>1.271530674</v>
      </c>
      <c r="AW25" s="1">
        <v>0.0</v>
      </c>
      <c r="AX25" s="1">
        <v>0.0</v>
      </c>
      <c r="AY25" s="1">
        <v>10.23898837</v>
      </c>
      <c r="AZ25" s="1">
        <v>22.26917062</v>
      </c>
      <c r="BA25" s="1">
        <v>7.694211617</v>
      </c>
      <c r="BB25" s="1">
        <v>0.0</v>
      </c>
      <c r="BC25" s="1">
        <v>0.0</v>
      </c>
      <c r="BD25" s="1">
        <v>-0.5409685966</v>
      </c>
      <c r="BE25" s="1">
        <v>1.17855625</v>
      </c>
      <c r="BF25" s="1">
        <v>48.1517047</v>
      </c>
      <c r="BG25" s="1">
        <v>8.403367815</v>
      </c>
      <c r="BH25" s="1">
        <v>0.0</v>
      </c>
      <c r="BI25" s="1">
        <v>0.0</v>
      </c>
      <c r="BJ25" s="1">
        <v>0.0</v>
      </c>
      <c r="BK25" s="1">
        <v>0.0</v>
      </c>
      <c r="BL25" s="1">
        <v>0.0</v>
      </c>
      <c r="BM25" s="1">
        <v>0.0</v>
      </c>
      <c r="BN25" s="1">
        <v>0.0</v>
      </c>
      <c r="BO25" s="1">
        <v>0.0</v>
      </c>
      <c r="BP25" s="1">
        <v>0.0</v>
      </c>
      <c r="BQ25" s="1">
        <v>0.0</v>
      </c>
      <c r="BR25" s="1">
        <v>-4.194434014</v>
      </c>
      <c r="BS25" s="1">
        <v>-0.3536536341</v>
      </c>
      <c r="BT25" s="1">
        <v>9.825083572</v>
      </c>
      <c r="BU25" s="1">
        <v>1.164620202</v>
      </c>
      <c r="BV25" s="1">
        <v>0.7236582144</v>
      </c>
      <c r="BW25" s="1">
        <v>3.352698144</v>
      </c>
      <c r="BX25" s="1">
        <v>9.790623901</v>
      </c>
      <c r="BY25" s="1">
        <v>8.221291471</v>
      </c>
      <c r="BZ25" s="1">
        <v>0.0</v>
      </c>
      <c r="CA25" s="1">
        <v>0.0</v>
      </c>
      <c r="CB25" s="1">
        <v>0.0</v>
      </c>
      <c r="CC25" s="1">
        <v>-0.9199781048</v>
      </c>
      <c r="CD25" s="1">
        <v>2.420891384</v>
      </c>
      <c r="CE25" s="1">
        <v>0.0</v>
      </c>
      <c r="CF25" s="1">
        <v>0.0</v>
      </c>
      <c r="CG25" s="1">
        <v>-0.3789947231</v>
      </c>
      <c r="CH25" s="1">
        <v>1.402531508</v>
      </c>
      <c r="CI25" s="1">
        <v>0.0</v>
      </c>
      <c r="CJ25" s="1">
        <v>0.0</v>
      </c>
      <c r="CK25" s="1">
        <v>1.444851346</v>
      </c>
      <c r="CL25" s="1">
        <v>2.745440303</v>
      </c>
      <c r="CM25" s="1">
        <v>1.444851346</v>
      </c>
      <c r="CN25" s="1">
        <v>0.6509931727</v>
      </c>
      <c r="CO25" s="1">
        <v>1.500312549</v>
      </c>
      <c r="CP25" s="1">
        <v>-0.4929504454</v>
      </c>
      <c r="CQ25" s="1">
        <v>0.07600207434</v>
      </c>
      <c r="CR25" s="1">
        <v>0.05318810642</v>
      </c>
      <c r="CS25" s="1">
        <v>0.0</v>
      </c>
      <c r="CT25" s="1">
        <v>0.0</v>
      </c>
      <c r="CU25" s="1">
        <v>0.0</v>
      </c>
      <c r="CV25" s="1">
        <v>89.18406957</v>
      </c>
      <c r="CW25" s="1">
        <v>-201.2655376</v>
      </c>
      <c r="CX25" s="1">
        <v>-210.4544025</v>
      </c>
      <c r="CY25" s="1">
        <v>36.97080557</v>
      </c>
      <c r="CZ25" s="1">
        <v>1.045655431</v>
      </c>
      <c r="DA25" s="1">
        <v>0.414544949</v>
      </c>
      <c r="DB25" s="1">
        <v>3.471235568</v>
      </c>
      <c r="DC25" s="1">
        <v>1.083894109</v>
      </c>
      <c r="DD25" s="1">
        <v>10.41573536</v>
      </c>
      <c r="DE25" s="1">
        <v>1.162</v>
      </c>
      <c r="DF25" s="1">
        <v>100.0</v>
      </c>
      <c r="DG25" s="1">
        <v>59.752</v>
      </c>
      <c r="DH25" s="1">
        <v>3.80498</v>
      </c>
      <c r="DI25" s="1">
        <v>22.79189351</v>
      </c>
    </row>
    <row r="26">
      <c r="A26" s="1">
        <v>2.5</v>
      </c>
      <c r="B26" s="1">
        <v>10.41573536</v>
      </c>
      <c r="C26" s="1">
        <v>23.3</v>
      </c>
      <c r="D26" s="1">
        <v>-2.0</v>
      </c>
      <c r="E26" s="1" t="s">
        <v>137</v>
      </c>
      <c r="F26" s="1">
        <v>217.6892313</v>
      </c>
      <c r="G26" s="1">
        <v>97.67950018</v>
      </c>
      <c r="H26" s="1">
        <v>3.198633465</v>
      </c>
      <c r="I26" s="1">
        <v>1.429558197</v>
      </c>
      <c r="J26" s="1">
        <v>1.425738092</v>
      </c>
      <c r="K26" s="1">
        <v>0.6593655492</v>
      </c>
      <c r="L26" s="1">
        <v>2.228607138</v>
      </c>
      <c r="M26" s="1">
        <v>55.86826782</v>
      </c>
      <c r="N26" s="1">
        <v>44.13173218</v>
      </c>
      <c r="O26" s="1">
        <v>3.090984558</v>
      </c>
      <c r="P26" s="4">
        <v>3.12E-6</v>
      </c>
      <c r="Q26" s="4">
        <v>5.71E-4</v>
      </c>
      <c r="R26" s="1">
        <v>1.428582085</v>
      </c>
      <c r="S26" s="4">
        <v>1.02E-6</v>
      </c>
      <c r="T26" s="4">
        <v>7.07E-4</v>
      </c>
      <c r="U26" s="1">
        <v>55.86608674</v>
      </c>
      <c r="V26" s="1">
        <v>0.001179223045</v>
      </c>
      <c r="W26" s="4">
        <v>6.15E-4</v>
      </c>
      <c r="X26" s="1">
        <v>81.65892924</v>
      </c>
      <c r="Y26" s="1">
        <v>18.23486609</v>
      </c>
      <c r="Z26" s="1">
        <v>60.68074885</v>
      </c>
      <c r="AA26" s="1">
        <v>5.595103469</v>
      </c>
      <c r="AB26" s="1">
        <v>4.19029887</v>
      </c>
      <c r="AC26" s="1">
        <v>2.315884147</v>
      </c>
      <c r="AD26" s="1">
        <v>1.837251712</v>
      </c>
      <c r="AE26" s="1">
        <v>2.224530877</v>
      </c>
      <c r="AF26" s="1">
        <v>2.64601688</v>
      </c>
      <c r="AG26" s="1">
        <v>1.918876125</v>
      </c>
      <c r="AH26" s="1">
        <v>2.24557913</v>
      </c>
      <c r="AI26" s="1">
        <v>2.966216186</v>
      </c>
      <c r="AJ26" s="1">
        <v>0.4519295313</v>
      </c>
      <c r="AK26" s="1">
        <v>0.3540071814</v>
      </c>
      <c r="AL26" s="1">
        <v>6.23370548</v>
      </c>
      <c r="AM26" s="1">
        <v>0.4411574231</v>
      </c>
      <c r="AN26" s="1">
        <v>0.33117899</v>
      </c>
      <c r="AO26" s="1">
        <v>2.495094291</v>
      </c>
      <c r="AP26" s="1">
        <v>0.0</v>
      </c>
      <c r="AQ26" s="1">
        <v>0.0</v>
      </c>
      <c r="AR26" s="1">
        <v>93.76402123</v>
      </c>
      <c r="AS26" s="1">
        <v>48.43060857</v>
      </c>
      <c r="AT26" s="1">
        <v>69.92592598</v>
      </c>
      <c r="AU26" s="1">
        <v>20.79997178</v>
      </c>
      <c r="AV26" s="1">
        <v>1.753148326</v>
      </c>
      <c r="AW26" s="1">
        <v>0.0</v>
      </c>
      <c r="AX26" s="1">
        <v>0.0</v>
      </c>
      <c r="AY26" s="1">
        <v>12.63108088</v>
      </c>
      <c r="AZ26" s="1">
        <v>26.00494301</v>
      </c>
      <c r="BA26" s="1">
        <v>8.382348902</v>
      </c>
      <c r="BB26" s="1">
        <v>0.0</v>
      </c>
      <c r="BC26" s="1">
        <v>0.0</v>
      </c>
      <c r="BD26" s="1">
        <v>-0.468173188</v>
      </c>
      <c r="BE26" s="1">
        <v>1.412235769</v>
      </c>
      <c r="BF26" s="1">
        <v>52.20739125</v>
      </c>
      <c r="BG26" s="1">
        <v>9.206474204</v>
      </c>
      <c r="BH26" s="1">
        <v>0.0</v>
      </c>
      <c r="BI26" s="1">
        <v>0.0</v>
      </c>
      <c r="BJ26" s="1">
        <v>0.0</v>
      </c>
      <c r="BK26" s="1">
        <v>0.0</v>
      </c>
      <c r="BL26" s="1">
        <v>0.0</v>
      </c>
      <c r="BM26" s="1">
        <v>0.0</v>
      </c>
      <c r="BN26" s="1">
        <v>0.0</v>
      </c>
      <c r="BO26" s="1">
        <v>0.0</v>
      </c>
      <c r="BP26" s="1">
        <v>0.0</v>
      </c>
      <c r="BQ26" s="1">
        <v>0.0</v>
      </c>
      <c r="BR26" s="1">
        <v>-4.387426587</v>
      </c>
      <c r="BS26" s="1">
        <v>-0.4166190979</v>
      </c>
      <c r="BT26" s="1">
        <v>11.56192114</v>
      </c>
      <c r="BU26" s="1">
        <v>1.484042225</v>
      </c>
      <c r="BV26" s="1">
        <v>0.5748919258</v>
      </c>
      <c r="BW26" s="1">
        <v>3.16038396</v>
      </c>
      <c r="BX26" s="1">
        <v>12.05339803</v>
      </c>
      <c r="BY26" s="1">
        <v>8.905582516</v>
      </c>
      <c r="BZ26" s="1">
        <v>0.0</v>
      </c>
      <c r="CA26" s="1">
        <v>0.0</v>
      </c>
      <c r="CB26" s="1">
        <v>0.0</v>
      </c>
      <c r="CC26" s="1">
        <v>-0.9505146995</v>
      </c>
      <c r="CD26" s="1">
        <v>2.394636808</v>
      </c>
      <c r="CE26" s="1">
        <v>0.0</v>
      </c>
      <c r="CF26" s="1">
        <v>0.0</v>
      </c>
      <c r="CG26" s="1">
        <v>-0.5026901682</v>
      </c>
      <c r="CH26" s="1">
        <v>1.501268488</v>
      </c>
      <c r="CI26" s="1">
        <v>0.0</v>
      </c>
      <c r="CJ26" s="1">
        <v>0.0</v>
      </c>
      <c r="CK26" s="1">
        <v>1.672967491</v>
      </c>
      <c r="CL26" s="1">
        <v>2.305357453</v>
      </c>
      <c r="CM26" s="1">
        <v>1.672967491</v>
      </c>
      <c r="CN26" s="1">
        <v>0.5913923354</v>
      </c>
      <c r="CO26" s="1">
        <v>1.415991628</v>
      </c>
      <c r="CP26" s="1">
        <v>0.2823470706</v>
      </c>
      <c r="CQ26" s="1">
        <v>-0.08737344415</v>
      </c>
      <c r="CR26" s="1">
        <v>0.06101288516</v>
      </c>
      <c r="CS26" s="1">
        <v>0.0</v>
      </c>
      <c r="CT26" s="1">
        <v>0.0</v>
      </c>
      <c r="CU26" s="1">
        <v>0.0</v>
      </c>
      <c r="CV26" s="1">
        <v>97.67950018</v>
      </c>
      <c r="CW26" s="1">
        <v>-217.6892313</v>
      </c>
      <c r="CX26" s="1">
        <v>-237.4196145</v>
      </c>
      <c r="CY26" s="1">
        <v>42.10566129</v>
      </c>
      <c r="CZ26" s="1">
        <v>1.09063555</v>
      </c>
      <c r="DA26" s="1">
        <v>0.4310593442</v>
      </c>
      <c r="DB26" s="1">
        <v>3.471187735</v>
      </c>
      <c r="DC26" s="1">
        <v>1.084040711</v>
      </c>
      <c r="DD26" s="1">
        <v>10.41573536</v>
      </c>
      <c r="DE26" s="1">
        <v>1.162</v>
      </c>
      <c r="DF26" s="1">
        <v>100.0</v>
      </c>
      <c r="DG26" s="1">
        <v>44.43</v>
      </c>
      <c r="DH26" s="1">
        <v>9.613893333</v>
      </c>
      <c r="DI26" s="1">
        <v>23.073344</v>
      </c>
    </row>
    <row r="27">
      <c r="A27" s="1">
        <v>2.7</v>
      </c>
      <c r="B27" s="1">
        <v>10.41573536</v>
      </c>
      <c r="C27" s="1">
        <v>23.3</v>
      </c>
      <c r="D27" s="1">
        <v>-6.0</v>
      </c>
      <c r="E27" s="1" t="s">
        <v>135</v>
      </c>
      <c r="F27" s="1">
        <v>203.1387744</v>
      </c>
      <c r="G27" s="1">
        <v>91.42176994</v>
      </c>
      <c r="H27" s="1">
        <v>2.984835207</v>
      </c>
      <c r="I27" s="1">
        <v>1.337997078</v>
      </c>
      <c r="J27" s="1">
        <v>1.330462947</v>
      </c>
      <c r="K27" s="1">
        <v>0.6171443054</v>
      </c>
      <c r="L27" s="1">
        <v>2.221995642</v>
      </c>
      <c r="M27" s="1">
        <v>57.79807373</v>
      </c>
      <c r="N27" s="1">
        <v>42.20192627</v>
      </c>
      <c r="O27" s="1">
        <v>2.891524011</v>
      </c>
      <c r="P27" s="4">
        <v>5.97E-6</v>
      </c>
      <c r="Q27" s="4">
        <v>8.45E-4</v>
      </c>
      <c r="R27" s="1">
        <v>1.337827459</v>
      </c>
      <c r="S27" s="4">
        <v>6.67E-7</v>
      </c>
      <c r="T27" s="4">
        <v>6.11E-4</v>
      </c>
      <c r="U27" s="1">
        <v>57.81539538</v>
      </c>
      <c r="V27" s="4">
        <v>4.11E-4</v>
      </c>
      <c r="W27" s="4">
        <v>3.51E-4</v>
      </c>
      <c r="X27" s="1">
        <v>80.07001016</v>
      </c>
      <c r="Y27" s="1">
        <v>17.97229511</v>
      </c>
      <c r="Z27" s="1">
        <v>59.48723909</v>
      </c>
      <c r="AA27" s="1">
        <v>5.49175466</v>
      </c>
      <c r="AB27" s="1">
        <v>4.053644891</v>
      </c>
      <c r="AC27" s="1">
        <v>2.28331269</v>
      </c>
      <c r="AD27" s="1">
        <v>1.847518163</v>
      </c>
      <c r="AE27" s="1">
        <v>2.204186474</v>
      </c>
      <c r="AF27" s="1">
        <v>2.589117215</v>
      </c>
      <c r="AG27" s="1">
        <v>1.86612106</v>
      </c>
      <c r="AH27" s="1">
        <v>2.198380984</v>
      </c>
      <c r="AI27" s="1">
        <v>2.990881424</v>
      </c>
      <c r="AJ27" s="1">
        <v>0.4383585966</v>
      </c>
      <c r="AK27" s="1">
        <v>0.3552388684</v>
      </c>
      <c r="AL27" s="1">
        <v>6.112943195</v>
      </c>
      <c r="AM27" s="1">
        <v>0.4119432441</v>
      </c>
      <c r="AN27" s="1">
        <v>0.3248335086</v>
      </c>
      <c r="AO27" s="1">
        <v>2.395949772</v>
      </c>
      <c r="AP27" s="1">
        <v>0.0</v>
      </c>
      <c r="AQ27" s="1">
        <v>0.0</v>
      </c>
      <c r="AR27" s="1">
        <v>85.17854763</v>
      </c>
      <c r="AS27" s="1">
        <v>44.01978348</v>
      </c>
      <c r="AT27" s="1">
        <v>64.18454182</v>
      </c>
      <c r="AU27" s="1">
        <v>18.93796317</v>
      </c>
      <c r="AV27" s="1">
        <v>1.340119465</v>
      </c>
      <c r="AW27" s="1">
        <v>0.0</v>
      </c>
      <c r="AX27" s="1">
        <v>0.0</v>
      </c>
      <c r="AY27" s="1">
        <v>11.25152856</v>
      </c>
      <c r="AZ27" s="1">
        <v>23.84539344</v>
      </c>
      <c r="BA27" s="1">
        <v>7.720098308</v>
      </c>
      <c r="BB27" s="1">
        <v>0.0</v>
      </c>
      <c r="BC27" s="1">
        <v>0.0</v>
      </c>
      <c r="BD27" s="1">
        <v>-0.624196294</v>
      </c>
      <c r="BE27" s="1">
        <v>1.202763164</v>
      </c>
      <c r="BF27" s="1">
        <v>45.98728597</v>
      </c>
      <c r="BG27" s="1">
        <v>8.111726566</v>
      </c>
      <c r="BH27" s="1">
        <v>0.0</v>
      </c>
      <c r="BI27" s="1">
        <v>0.0</v>
      </c>
      <c r="BJ27" s="1">
        <v>0.0</v>
      </c>
      <c r="BK27" s="1">
        <v>0.0</v>
      </c>
      <c r="BL27" s="1">
        <v>0.0</v>
      </c>
      <c r="BM27" s="1">
        <v>0.0</v>
      </c>
      <c r="BN27" s="1">
        <v>0.0</v>
      </c>
      <c r="BO27" s="1">
        <v>0.0</v>
      </c>
      <c r="BP27" s="1">
        <v>0.0</v>
      </c>
      <c r="BQ27" s="1">
        <v>0.0</v>
      </c>
      <c r="BR27" s="1">
        <v>-4.231467097</v>
      </c>
      <c r="BS27" s="1">
        <v>-0.3771379337</v>
      </c>
      <c r="BT27" s="1">
        <v>8.76719836</v>
      </c>
      <c r="BU27" s="1">
        <v>1.245695161</v>
      </c>
      <c r="BV27" s="1">
        <v>0.3702249013</v>
      </c>
      <c r="BW27" s="1">
        <v>2.928421969</v>
      </c>
      <c r="BX27" s="1">
        <v>11.45246721</v>
      </c>
      <c r="BY27" s="1">
        <v>8.942680244</v>
      </c>
      <c r="BZ27" s="1">
        <v>0.0</v>
      </c>
      <c r="CA27" s="1">
        <v>0.0</v>
      </c>
      <c r="CB27" s="1">
        <v>0.0</v>
      </c>
      <c r="CC27" s="1">
        <v>-0.9654843953</v>
      </c>
      <c r="CD27" s="1">
        <v>2.438989263</v>
      </c>
      <c r="CE27" s="1">
        <v>0.0</v>
      </c>
      <c r="CF27" s="1">
        <v>0.0</v>
      </c>
      <c r="CG27" s="1">
        <v>-0.4101257763</v>
      </c>
      <c r="CH27" s="1">
        <v>1.399869105</v>
      </c>
      <c r="CI27" s="1">
        <v>0.0</v>
      </c>
      <c r="CJ27" s="1">
        <v>0.0</v>
      </c>
      <c r="CK27" s="1">
        <v>1.603669435</v>
      </c>
      <c r="CL27" s="1">
        <v>2.529775992</v>
      </c>
      <c r="CM27" s="1">
        <v>1.603669435</v>
      </c>
      <c r="CN27" s="1">
        <v>0.5423135212</v>
      </c>
      <c r="CO27" s="1">
        <v>1.420626004</v>
      </c>
      <c r="CP27" s="1">
        <v>0.5541119466</v>
      </c>
      <c r="CQ27" s="1">
        <v>-0.1714920741</v>
      </c>
      <c r="CR27" s="1">
        <v>0.05791788275</v>
      </c>
      <c r="CS27" s="1">
        <v>0.0</v>
      </c>
      <c r="CT27" s="1">
        <v>0.0</v>
      </c>
      <c r="CU27" s="1">
        <v>0.0</v>
      </c>
      <c r="CV27" s="1">
        <v>91.42176994</v>
      </c>
      <c r="CW27" s="1">
        <v>-203.1387744</v>
      </c>
      <c r="CX27" s="1">
        <v>-213.7437034</v>
      </c>
      <c r="CY27" s="1">
        <v>38.75583626</v>
      </c>
      <c r="CZ27" s="1">
        <v>1.052205341</v>
      </c>
      <c r="DA27" s="1">
        <v>0.4239234953</v>
      </c>
      <c r="DB27" s="1">
        <v>3.471128038</v>
      </c>
      <c r="DC27" s="1">
        <v>1.084022866</v>
      </c>
      <c r="DD27" s="1">
        <v>10.41573536</v>
      </c>
      <c r="DE27" s="1">
        <v>1.162</v>
      </c>
      <c r="DF27" s="1">
        <v>100.0</v>
      </c>
      <c r="DG27" s="1">
        <v>42.065</v>
      </c>
      <c r="DH27" s="1">
        <v>6.408478889</v>
      </c>
      <c r="DI27" s="1">
        <v>23.070524</v>
      </c>
    </row>
    <row r="28">
      <c r="A28" s="1">
        <v>2.8</v>
      </c>
      <c r="B28" s="1">
        <v>10.41573536</v>
      </c>
      <c r="C28" s="1">
        <v>23.3</v>
      </c>
      <c r="D28" s="1">
        <v>-8.0</v>
      </c>
      <c r="E28" s="1" t="s">
        <v>135</v>
      </c>
      <c r="F28" s="1">
        <v>195.7050623</v>
      </c>
      <c r="G28" s="1">
        <v>87.29811182</v>
      </c>
      <c r="H28" s="1">
        <v>2.875607387</v>
      </c>
      <c r="I28" s="1">
        <v>1.281634659</v>
      </c>
      <c r="J28" s="1">
        <v>1.285777569</v>
      </c>
      <c r="K28" s="1">
        <v>0.5912027353</v>
      </c>
      <c r="L28" s="1">
        <v>2.241801778</v>
      </c>
      <c r="M28" s="1">
        <v>59.03937431</v>
      </c>
      <c r="N28" s="1">
        <v>40.96062569</v>
      </c>
      <c r="O28" s="1">
        <v>2.771948657</v>
      </c>
      <c r="P28" s="4">
        <v>9.18E-5</v>
      </c>
      <c r="Q28" s="1">
        <v>0.003456105391</v>
      </c>
      <c r="R28" s="1">
        <v>1.276638302</v>
      </c>
      <c r="S28" s="4">
        <v>1.47E-5</v>
      </c>
      <c r="T28" s="1">
        <v>0.0030051501</v>
      </c>
      <c r="U28" s="1">
        <v>59.1435852</v>
      </c>
      <c r="V28" s="1">
        <v>0.006999115559</v>
      </c>
      <c r="W28" s="1">
        <v>0.001414535772</v>
      </c>
      <c r="X28" s="1">
        <v>77.94872537</v>
      </c>
      <c r="Y28" s="1">
        <v>17.68164946</v>
      </c>
      <c r="Z28" s="1">
        <v>57.8643356</v>
      </c>
      <c r="AA28" s="1">
        <v>5.465885917</v>
      </c>
      <c r="AB28" s="1">
        <v>3.886900391</v>
      </c>
      <c r="AC28" s="1">
        <v>2.230160983</v>
      </c>
      <c r="AD28" s="1">
        <v>1.828356293</v>
      </c>
      <c r="AE28" s="1">
        <v>2.169826849</v>
      </c>
      <c r="AF28" s="1">
        <v>2.574858684</v>
      </c>
      <c r="AG28" s="1">
        <v>1.792132337</v>
      </c>
      <c r="AH28" s="1">
        <v>2.163029758</v>
      </c>
      <c r="AI28" s="1">
        <v>2.972938087</v>
      </c>
      <c r="AJ28" s="1">
        <v>0.4617742245</v>
      </c>
      <c r="AK28" s="1">
        <v>0.3640962555</v>
      </c>
      <c r="AL28" s="1">
        <v>5.847215703</v>
      </c>
      <c r="AM28" s="1">
        <v>0.430890305</v>
      </c>
      <c r="AN28" s="1">
        <v>0.3059731453</v>
      </c>
      <c r="AO28" s="1">
        <v>2.299062207</v>
      </c>
      <c r="AP28" s="1">
        <v>0.0</v>
      </c>
      <c r="AQ28" s="1">
        <v>0.0</v>
      </c>
      <c r="AR28" s="1">
        <v>79.34498126</v>
      </c>
      <c r="AS28" s="1">
        <v>40.40654338</v>
      </c>
      <c r="AT28" s="1">
        <v>60.10449278</v>
      </c>
      <c r="AU28" s="1">
        <v>17.40194492</v>
      </c>
      <c r="AV28" s="1">
        <v>1.22968491</v>
      </c>
      <c r="AW28" s="1">
        <v>0.0</v>
      </c>
      <c r="AX28" s="1">
        <v>0.0</v>
      </c>
      <c r="AY28" s="1">
        <v>10.12507423</v>
      </c>
      <c r="AZ28" s="1">
        <v>21.85224552</v>
      </c>
      <c r="BA28" s="1">
        <v>7.464120925</v>
      </c>
      <c r="BB28" s="1">
        <v>0.0</v>
      </c>
      <c r="BC28" s="1">
        <v>0.0</v>
      </c>
      <c r="BD28" s="1">
        <v>-0.62082626</v>
      </c>
      <c r="BE28" s="1">
        <v>0.9651027131</v>
      </c>
      <c r="BF28" s="1">
        <v>44.19101398</v>
      </c>
      <c r="BG28" s="1">
        <v>7.721234207</v>
      </c>
      <c r="BH28" s="1">
        <v>0.0</v>
      </c>
      <c r="BI28" s="1">
        <v>0.0</v>
      </c>
      <c r="BJ28" s="1">
        <v>0.0</v>
      </c>
      <c r="BK28" s="1">
        <v>0.0</v>
      </c>
      <c r="BL28" s="1">
        <v>0.0</v>
      </c>
      <c r="BM28" s="1">
        <v>0.0</v>
      </c>
      <c r="BN28" s="1">
        <v>0.0</v>
      </c>
      <c r="BO28" s="1">
        <v>0.0</v>
      </c>
      <c r="BP28" s="1">
        <v>0.0</v>
      </c>
      <c r="BQ28" s="1">
        <v>0.0</v>
      </c>
      <c r="BR28" s="1">
        <v>-4.124793209</v>
      </c>
      <c r="BS28" s="1">
        <v>-0.3378061789</v>
      </c>
      <c r="BT28" s="1">
        <v>7.749040262</v>
      </c>
      <c r="BU28" s="1">
        <v>0.8773685663</v>
      </c>
      <c r="BV28" s="1">
        <v>0.2766098552</v>
      </c>
      <c r="BW28" s="1">
        <v>3.238923259</v>
      </c>
      <c r="BX28" s="1">
        <v>10.77556927</v>
      </c>
      <c r="BY28" s="1">
        <v>8.563826168</v>
      </c>
      <c r="BZ28" s="1">
        <v>0.0</v>
      </c>
      <c r="CA28" s="1">
        <v>0.0</v>
      </c>
      <c r="CB28" s="1">
        <v>0.0</v>
      </c>
      <c r="CC28" s="1">
        <v>-0.9081103282</v>
      </c>
      <c r="CD28" s="1">
        <v>2.430347239</v>
      </c>
      <c r="CE28" s="1">
        <v>0.0</v>
      </c>
      <c r="CF28" s="1">
        <v>0.0</v>
      </c>
      <c r="CG28" s="1">
        <v>-0.3616956793</v>
      </c>
      <c r="CH28" s="1">
        <v>1.334429349</v>
      </c>
      <c r="CI28" s="1">
        <v>0.0</v>
      </c>
      <c r="CJ28" s="1">
        <v>0.0</v>
      </c>
      <c r="CK28" s="1">
        <v>1.704467459</v>
      </c>
      <c r="CL28" s="1">
        <v>2.873265609</v>
      </c>
      <c r="CM28" s="1">
        <v>1.704467459</v>
      </c>
      <c r="CN28" s="1">
        <v>0.5830738798</v>
      </c>
      <c r="CO28" s="1">
        <v>1.529754195</v>
      </c>
      <c r="CP28" s="1">
        <v>0.6598695491</v>
      </c>
      <c r="CQ28" s="1">
        <v>-0.1754644597</v>
      </c>
      <c r="CR28" s="1">
        <v>0.05825779972</v>
      </c>
      <c r="CS28" s="1">
        <v>0.0</v>
      </c>
      <c r="CT28" s="1">
        <v>0.0</v>
      </c>
      <c r="CU28" s="1">
        <v>0.0</v>
      </c>
      <c r="CV28" s="1">
        <v>87.29811182</v>
      </c>
      <c r="CW28" s="1">
        <v>-195.7050623</v>
      </c>
      <c r="CX28" s="1">
        <v>-201.0844139</v>
      </c>
      <c r="CY28" s="1">
        <v>36.10923105</v>
      </c>
      <c r="CZ28" s="1">
        <v>1.027487034</v>
      </c>
      <c r="DA28" s="1">
        <v>0.4136312951</v>
      </c>
      <c r="DB28" s="1">
        <v>3.471130814</v>
      </c>
      <c r="DC28" s="1">
        <v>1.083921456</v>
      </c>
      <c r="DD28" s="1">
        <v>10.4</v>
      </c>
      <c r="DE28" s="1">
        <v>1.162</v>
      </c>
      <c r="DF28" s="1">
        <v>100.0</v>
      </c>
      <c r="DG28" s="1">
        <v>378.264</v>
      </c>
      <c r="DH28" s="1">
        <v>65.28538333</v>
      </c>
      <c r="DI28" s="1">
        <v>417.4553819</v>
      </c>
    </row>
    <row r="29">
      <c r="A29" s="1">
        <v>3.1</v>
      </c>
      <c r="B29" s="1">
        <v>15.55654895</v>
      </c>
      <c r="C29" s="1">
        <v>34.8</v>
      </c>
      <c r="D29" s="1">
        <v>-8.0</v>
      </c>
      <c r="E29" s="1" t="s">
        <v>135</v>
      </c>
      <c r="F29" s="1">
        <v>438.0410244</v>
      </c>
      <c r="G29" s="1">
        <v>193.6042779</v>
      </c>
      <c r="H29" s="1">
        <v>2.885331193</v>
      </c>
      <c r="I29" s="1">
        <v>1.270323922</v>
      </c>
      <c r="J29" s="1">
        <v>1.286230335</v>
      </c>
      <c r="K29" s="1">
        <v>0.5859852277</v>
      </c>
      <c r="L29" s="1">
        <v>2.262558602</v>
      </c>
      <c r="M29" s="1">
        <v>59.720403</v>
      </c>
      <c r="N29" s="1">
        <v>40.279597</v>
      </c>
      <c r="O29" s="1">
        <v>2.777209531</v>
      </c>
      <c r="P29" s="4">
        <v>2.59E-4</v>
      </c>
      <c r="Q29" s="1">
        <v>0.00579739447</v>
      </c>
      <c r="R29" s="1">
        <v>1.263728635</v>
      </c>
      <c r="S29" s="4">
        <v>4.19E-5</v>
      </c>
      <c r="T29" s="1">
        <v>0.005121491925</v>
      </c>
      <c r="U29" s="1">
        <v>59.98995681</v>
      </c>
      <c r="V29" s="1">
        <v>0.05457402383</v>
      </c>
      <c r="W29" s="1">
        <v>0.003894165805</v>
      </c>
      <c r="X29" s="1">
        <v>177.7796934</v>
      </c>
      <c r="Y29" s="1">
        <v>39.84610027</v>
      </c>
      <c r="Z29" s="1">
        <v>132.0901154</v>
      </c>
      <c r="AA29" s="1">
        <v>12.31316644</v>
      </c>
      <c r="AB29" s="1">
        <v>8.901830239</v>
      </c>
      <c r="AC29" s="1">
        <v>5.047596349</v>
      </c>
      <c r="AD29" s="1">
        <v>4.241120163</v>
      </c>
      <c r="AE29" s="1">
        <v>4.638752485</v>
      </c>
      <c r="AF29" s="1">
        <v>5.799856211</v>
      </c>
      <c r="AG29" s="1">
        <v>4.094182909</v>
      </c>
      <c r="AH29" s="1">
        <v>4.879710698</v>
      </c>
      <c r="AI29" s="1">
        <v>6.849382871</v>
      </c>
      <c r="AJ29" s="1">
        <v>1.040733408</v>
      </c>
      <c r="AK29" s="1">
        <v>0.8247229793</v>
      </c>
      <c r="AL29" s="1">
        <v>13.32040841</v>
      </c>
      <c r="AM29" s="1">
        <v>0.9621244711</v>
      </c>
      <c r="AN29" s="1">
        <v>0.6812564074</v>
      </c>
      <c r="AO29" s="1">
        <v>5.091451348</v>
      </c>
      <c r="AP29" s="1">
        <v>0.0</v>
      </c>
      <c r="AQ29" s="1">
        <v>0.0</v>
      </c>
      <c r="AR29" s="1">
        <v>176.7263981</v>
      </c>
      <c r="AS29" s="1">
        <v>90.29134325</v>
      </c>
      <c r="AT29" s="1">
        <v>133.6328596</v>
      </c>
      <c r="AU29" s="1">
        <v>38.79226741</v>
      </c>
      <c r="AV29" s="1">
        <v>2.850838388</v>
      </c>
      <c r="AW29" s="1">
        <v>0.0</v>
      </c>
      <c r="AX29" s="1">
        <v>0.0</v>
      </c>
      <c r="AY29" s="1">
        <v>22.20126305</v>
      </c>
      <c r="AZ29" s="1">
        <v>48.92322191</v>
      </c>
      <c r="BA29" s="1">
        <v>17.05933715</v>
      </c>
      <c r="BB29" s="1">
        <v>0.0</v>
      </c>
      <c r="BC29" s="1">
        <v>0.0</v>
      </c>
      <c r="BD29" s="1">
        <v>-1.400405593</v>
      </c>
      <c r="BE29" s="1">
        <v>2.10752114</v>
      </c>
      <c r="BF29" s="1">
        <v>99.46756868</v>
      </c>
      <c r="BG29" s="1">
        <v>17.16211749</v>
      </c>
      <c r="BH29" s="1">
        <v>0.0</v>
      </c>
      <c r="BI29" s="1">
        <v>0.0</v>
      </c>
      <c r="BJ29" s="1">
        <v>0.0</v>
      </c>
      <c r="BK29" s="1">
        <v>0.0</v>
      </c>
      <c r="BL29" s="1">
        <v>0.0</v>
      </c>
      <c r="BM29" s="1">
        <v>0.0</v>
      </c>
      <c r="BN29" s="1">
        <v>0.0</v>
      </c>
      <c r="BO29" s="1">
        <v>0.0</v>
      </c>
      <c r="BP29" s="1">
        <v>0.0</v>
      </c>
      <c r="BQ29" s="1">
        <v>0.0</v>
      </c>
      <c r="BR29" s="1">
        <v>-9.461365144</v>
      </c>
      <c r="BS29" s="1">
        <v>-0.8454730889</v>
      </c>
      <c r="BT29" s="1">
        <v>17.0123693</v>
      </c>
      <c r="BU29" s="1">
        <v>1.817843823</v>
      </c>
      <c r="BV29" s="1">
        <v>0.2895013497</v>
      </c>
      <c r="BW29" s="1">
        <v>6.731704704</v>
      </c>
      <c r="BX29" s="1">
        <v>22.27860214</v>
      </c>
      <c r="BY29" s="1">
        <v>19.36543083</v>
      </c>
      <c r="BZ29" s="1">
        <v>0.0</v>
      </c>
      <c r="CA29" s="1">
        <v>0.0</v>
      </c>
      <c r="CB29" s="1">
        <v>0.0</v>
      </c>
      <c r="CC29" s="1">
        <v>-1.870832399</v>
      </c>
      <c r="CD29" s="1">
        <v>5.090917656</v>
      </c>
      <c r="CE29" s="1">
        <v>0.0</v>
      </c>
      <c r="CF29" s="1">
        <v>0.0</v>
      </c>
      <c r="CG29" s="1">
        <v>-0.769979801</v>
      </c>
      <c r="CH29" s="1">
        <v>2.943866394</v>
      </c>
      <c r="CI29" s="1">
        <v>0.0</v>
      </c>
      <c r="CJ29" s="1">
        <v>0.0</v>
      </c>
      <c r="CK29" s="1">
        <v>3.581474439</v>
      </c>
      <c r="CL29" s="1">
        <v>6.109884352</v>
      </c>
      <c r="CM29" s="1">
        <v>3.581474439</v>
      </c>
      <c r="CN29" s="1">
        <v>1.228157978</v>
      </c>
      <c r="CO29" s="1">
        <v>3.438011818</v>
      </c>
      <c r="CP29" s="1">
        <v>1.444584269</v>
      </c>
      <c r="CQ29" s="1">
        <v>-0.4388729624</v>
      </c>
      <c r="CR29" s="1">
        <v>0.08873697335</v>
      </c>
      <c r="CS29" s="1">
        <v>0.0</v>
      </c>
      <c r="CT29" s="1">
        <v>0.0</v>
      </c>
      <c r="CU29" s="1">
        <v>0.0</v>
      </c>
      <c r="CV29" s="1">
        <v>193.6042779</v>
      </c>
      <c r="CW29" s="1">
        <v>-438.0410244</v>
      </c>
      <c r="CX29" s="1">
        <v>-444.1408507</v>
      </c>
      <c r="CY29" s="1">
        <v>80.80341163</v>
      </c>
      <c r="CZ29" s="1">
        <v>1.01392524</v>
      </c>
      <c r="DA29" s="1">
        <v>0.4173637716</v>
      </c>
      <c r="DB29" s="1">
        <v>3.471130814</v>
      </c>
      <c r="DC29" s="1">
        <v>1.083921456</v>
      </c>
      <c r="DD29" s="1">
        <v>15.55654895</v>
      </c>
      <c r="DE29" s="1">
        <v>1.162</v>
      </c>
      <c r="DF29" s="1">
        <v>100.0</v>
      </c>
      <c r="DG29" s="1">
        <v>662.161</v>
      </c>
      <c r="DH29" s="1">
        <v>98.43703556</v>
      </c>
      <c r="DI29" s="1">
        <v>558.0682331</v>
      </c>
    </row>
    <row r="30">
      <c r="A30" s="1">
        <v>3.2</v>
      </c>
      <c r="B30" s="1">
        <v>15.55654895</v>
      </c>
      <c r="C30" s="1">
        <v>34.8</v>
      </c>
      <c r="D30" s="1">
        <v>-6.0</v>
      </c>
      <c r="E30" s="1" t="s">
        <v>138</v>
      </c>
      <c r="F30" s="1">
        <v>463.0491947</v>
      </c>
      <c r="G30" s="1">
        <v>200.6650342</v>
      </c>
      <c r="H30" s="1">
        <v>3.05005744</v>
      </c>
      <c r="I30" s="1">
        <v>1.317631939</v>
      </c>
      <c r="J30" s="1">
        <v>1.360673581</v>
      </c>
      <c r="K30" s="1">
        <v>0.6077478785</v>
      </c>
      <c r="L30" s="1">
        <v>2.307572899</v>
      </c>
      <c r="M30" s="1">
        <v>58.06107295</v>
      </c>
      <c r="N30" s="1">
        <v>41.93892705</v>
      </c>
      <c r="O30" s="1">
        <v>2.929842417</v>
      </c>
      <c r="P30" s="4">
        <v>2.09E-4</v>
      </c>
      <c r="Q30" s="1">
        <v>0.004938563015</v>
      </c>
      <c r="R30" s="1">
        <v>1.31248043</v>
      </c>
      <c r="S30" s="4">
        <v>1.57E-5</v>
      </c>
      <c r="T30" s="1">
        <v>0.003015869476</v>
      </c>
      <c r="U30" s="1">
        <v>57.96111672</v>
      </c>
      <c r="V30" s="1">
        <v>0.005249856661</v>
      </c>
      <c r="W30" s="1">
        <v>0.001250077616</v>
      </c>
      <c r="X30" s="1">
        <v>181.145476</v>
      </c>
      <c r="Y30" s="1">
        <v>40.43747897</v>
      </c>
      <c r="Z30" s="1">
        <v>134.5254192</v>
      </c>
      <c r="AA30" s="1">
        <v>12.3674704</v>
      </c>
      <c r="AB30" s="1">
        <v>9.129056497</v>
      </c>
      <c r="AC30" s="1">
        <v>5.171608354</v>
      </c>
      <c r="AD30" s="1">
        <v>4.275621376</v>
      </c>
      <c r="AE30" s="1">
        <v>4.781048611</v>
      </c>
      <c r="AF30" s="1">
        <v>5.821411322</v>
      </c>
      <c r="AG30" s="1">
        <v>4.209923303</v>
      </c>
      <c r="AH30" s="1">
        <v>4.963138872</v>
      </c>
      <c r="AI30" s="1">
        <v>6.865814092</v>
      </c>
      <c r="AJ30" s="1">
        <v>1.018184237</v>
      </c>
      <c r="AK30" s="1">
        <v>0.8303502287</v>
      </c>
      <c r="AL30" s="1">
        <v>13.82776569</v>
      </c>
      <c r="AM30" s="1">
        <v>0.9110284178</v>
      </c>
      <c r="AN30" s="1">
        <v>0.7113595738</v>
      </c>
      <c r="AO30" s="1">
        <v>5.307940688</v>
      </c>
      <c r="AP30" s="1">
        <v>0.0</v>
      </c>
      <c r="AQ30" s="1">
        <v>0.0</v>
      </c>
      <c r="AR30" s="1">
        <v>189.181539</v>
      </c>
      <c r="AS30" s="1">
        <v>96.65091747</v>
      </c>
      <c r="AT30" s="1">
        <v>143.2747662</v>
      </c>
      <c r="AU30" s="1">
        <v>41.30989549</v>
      </c>
      <c r="AV30" s="1">
        <v>3.00362133</v>
      </c>
      <c r="AW30" s="1">
        <v>0.0</v>
      </c>
      <c r="AX30" s="1">
        <v>0.0</v>
      </c>
      <c r="AY30" s="1">
        <v>24.69455656</v>
      </c>
      <c r="AZ30" s="1">
        <v>51.90233854</v>
      </c>
      <c r="BA30" s="1">
        <v>17.55391114</v>
      </c>
      <c r="BB30" s="1">
        <v>0.0</v>
      </c>
      <c r="BC30" s="1">
        <v>0.0</v>
      </c>
      <c r="BD30" s="1">
        <v>-1.410365316</v>
      </c>
      <c r="BE30" s="1">
        <v>2.50011122</v>
      </c>
      <c r="BF30" s="1">
        <v>102.8065053</v>
      </c>
      <c r="BG30" s="1">
        <v>18.11355751</v>
      </c>
      <c r="BH30" s="1">
        <v>0.0</v>
      </c>
      <c r="BI30" s="1">
        <v>0.0</v>
      </c>
      <c r="BJ30" s="1">
        <v>0.0</v>
      </c>
      <c r="BK30" s="1">
        <v>0.0</v>
      </c>
      <c r="BL30" s="1">
        <v>0.0</v>
      </c>
      <c r="BM30" s="1">
        <v>0.0</v>
      </c>
      <c r="BN30" s="1">
        <v>0.0</v>
      </c>
      <c r="BO30" s="1">
        <v>0.0</v>
      </c>
      <c r="BP30" s="1">
        <v>0.0</v>
      </c>
      <c r="BQ30" s="1">
        <v>0.0</v>
      </c>
      <c r="BR30" s="1">
        <v>-9.491059673</v>
      </c>
      <c r="BS30" s="1">
        <v>-0.8611513483</v>
      </c>
      <c r="BT30" s="1">
        <v>20.96405803</v>
      </c>
      <c r="BU30" s="1">
        <v>2.826899584</v>
      </c>
      <c r="BV30" s="1">
        <v>0.8213127719</v>
      </c>
      <c r="BW30" s="1">
        <v>7.744770036</v>
      </c>
      <c r="BX30" s="1">
        <v>24.56815208</v>
      </c>
      <c r="BY30" s="1">
        <v>17.94147719</v>
      </c>
      <c r="BZ30" s="1">
        <v>0.0</v>
      </c>
      <c r="CA30" s="1">
        <v>0.0</v>
      </c>
      <c r="CB30" s="1">
        <v>0.0</v>
      </c>
      <c r="CC30" s="1">
        <v>-2.072530458</v>
      </c>
      <c r="CD30" s="1">
        <v>5.111350029</v>
      </c>
      <c r="CE30" s="1">
        <v>0.0</v>
      </c>
      <c r="CF30" s="1">
        <v>0.0</v>
      </c>
      <c r="CG30" s="1">
        <v>-0.9244589725</v>
      </c>
      <c r="CH30" s="1">
        <v>3.029637742</v>
      </c>
      <c r="CI30" s="1">
        <v>0.0</v>
      </c>
      <c r="CJ30" s="1">
        <v>0.0</v>
      </c>
      <c r="CK30" s="1">
        <v>3.328261221</v>
      </c>
      <c r="CL30" s="1">
        <v>5.607604098</v>
      </c>
      <c r="CM30" s="1">
        <v>3.328261221</v>
      </c>
      <c r="CN30" s="1">
        <v>0.9007041344</v>
      </c>
      <c r="CO30" s="1">
        <v>3.092161949</v>
      </c>
      <c r="CP30" s="1">
        <v>1.341086158</v>
      </c>
      <c r="CQ30" s="1">
        <v>-0.4230126897</v>
      </c>
      <c r="CR30" s="1">
        <v>0.08931020027</v>
      </c>
      <c r="CS30" s="1">
        <v>0.0</v>
      </c>
      <c r="CT30" s="1">
        <v>0.0</v>
      </c>
      <c r="CU30" s="1">
        <v>0.0</v>
      </c>
      <c r="CV30" s="1">
        <v>200.6650342</v>
      </c>
      <c r="CW30" s="1">
        <v>-463.0491947</v>
      </c>
      <c r="CX30" s="1">
        <v>-484.7977112</v>
      </c>
      <c r="CY30" s="1">
        <v>84.98114613</v>
      </c>
      <c r="CZ30" s="1">
        <v>1.046968047</v>
      </c>
      <c r="DA30" s="1">
        <v>0.4234975289</v>
      </c>
      <c r="DB30" s="1">
        <v>3.471127786</v>
      </c>
      <c r="DC30" s="1">
        <v>1.084028415</v>
      </c>
      <c r="DD30" s="1">
        <v>15.55</v>
      </c>
      <c r="DE30" s="1">
        <v>1.162</v>
      </c>
      <c r="DF30" s="1">
        <v>100.0</v>
      </c>
      <c r="DG30" s="1">
        <v>412.38</v>
      </c>
      <c r="DH30" s="1">
        <v>59.97418278</v>
      </c>
      <c r="DI30" s="1">
        <v>431.814116</v>
      </c>
    </row>
    <row r="31">
      <c r="A31" s="1">
        <v>3.4</v>
      </c>
      <c r="B31" s="1">
        <v>15.55654895</v>
      </c>
      <c r="C31" s="1">
        <v>34.8</v>
      </c>
      <c r="D31" s="1">
        <v>-2.0</v>
      </c>
      <c r="E31" s="1" t="s">
        <v>135</v>
      </c>
      <c r="F31" s="1">
        <v>491.4050396</v>
      </c>
      <c r="G31" s="1">
        <v>216.573794</v>
      </c>
      <c r="H31" s="1">
        <v>3.236834475</v>
      </c>
      <c r="I31" s="1">
        <v>1.422084061</v>
      </c>
      <c r="J31" s="1">
        <v>1.443987291</v>
      </c>
      <c r="K31" s="1">
        <v>0.6559210255</v>
      </c>
      <c r="L31" s="1">
        <v>2.268995848</v>
      </c>
      <c r="M31" s="1">
        <v>56.05727868</v>
      </c>
      <c r="N31" s="1">
        <v>43.94272132</v>
      </c>
      <c r="O31" s="1">
        <v>3.125026427</v>
      </c>
      <c r="P31" s="4">
        <v>1.53E-5</v>
      </c>
      <c r="Q31" s="1">
        <v>0.001249856377</v>
      </c>
      <c r="R31" s="1">
        <v>1.419846046</v>
      </c>
      <c r="S31" s="4">
        <v>2.68E-6</v>
      </c>
      <c r="T31" s="1">
        <v>0.001152609397</v>
      </c>
      <c r="U31" s="1">
        <v>56.09147186</v>
      </c>
      <c r="V31" s="1">
        <v>0.001606110838</v>
      </c>
      <c r="W31" s="4">
        <v>7.14E-4</v>
      </c>
      <c r="X31" s="1">
        <v>184.661377</v>
      </c>
      <c r="Y31" s="1">
        <v>40.8864909</v>
      </c>
      <c r="Z31" s="1">
        <v>137.2044531</v>
      </c>
      <c r="AA31" s="1">
        <v>12.56561391</v>
      </c>
      <c r="AB31" s="1">
        <v>9.458447225</v>
      </c>
      <c r="AC31" s="1">
        <v>5.236405417</v>
      </c>
      <c r="AD31" s="1">
        <v>4.224456952</v>
      </c>
      <c r="AE31" s="1">
        <v>4.775334705</v>
      </c>
      <c r="AF31" s="1">
        <v>5.940222723</v>
      </c>
      <c r="AG31" s="1">
        <v>4.328257032</v>
      </c>
      <c r="AH31" s="1">
        <v>5.059231081</v>
      </c>
      <c r="AI31" s="1">
        <v>6.769571891</v>
      </c>
      <c r="AJ31" s="1">
        <v>1.035332857</v>
      </c>
      <c r="AK31" s="1">
        <v>0.8248852354</v>
      </c>
      <c r="AL31" s="1">
        <v>14.11178229</v>
      </c>
      <c r="AM31" s="1">
        <v>0.9733836556</v>
      </c>
      <c r="AN31" s="1">
        <v>0.7302588945</v>
      </c>
      <c r="AO31" s="1">
        <v>5.54065903</v>
      </c>
      <c r="AP31" s="1">
        <v>0.0</v>
      </c>
      <c r="AQ31" s="1">
        <v>0.0</v>
      </c>
      <c r="AR31" s="1">
        <v>210.6767509</v>
      </c>
      <c r="AS31" s="1">
        <v>109.3484693</v>
      </c>
      <c r="AT31" s="1">
        <v>156.5780462</v>
      </c>
      <c r="AU31" s="1">
        <v>47.01677938</v>
      </c>
      <c r="AV31" s="1">
        <v>4.056634593</v>
      </c>
      <c r="AW31" s="1">
        <v>0.0</v>
      </c>
      <c r="AX31" s="1">
        <v>0.0</v>
      </c>
      <c r="AY31" s="1">
        <v>28.20454509</v>
      </c>
      <c r="AZ31" s="1">
        <v>58.8471877</v>
      </c>
      <c r="BA31" s="1">
        <v>19.14480548</v>
      </c>
      <c r="BB31" s="1">
        <v>0.0</v>
      </c>
      <c r="BC31" s="1">
        <v>0.0</v>
      </c>
      <c r="BD31" s="1">
        <v>-1.031343917</v>
      </c>
      <c r="BE31" s="1">
        <v>3.151930996</v>
      </c>
      <c r="BF31" s="1">
        <v>112.8950926</v>
      </c>
      <c r="BG31" s="1">
        <v>20.3224681</v>
      </c>
      <c r="BH31" s="1">
        <v>0.0</v>
      </c>
      <c r="BI31" s="1">
        <v>0.0</v>
      </c>
      <c r="BJ31" s="1">
        <v>0.0</v>
      </c>
      <c r="BK31" s="1">
        <v>0.0</v>
      </c>
      <c r="BL31" s="1">
        <v>0.0</v>
      </c>
      <c r="BM31" s="1">
        <v>0.0</v>
      </c>
      <c r="BN31" s="1">
        <v>0.0</v>
      </c>
      <c r="BO31" s="1">
        <v>0.0</v>
      </c>
      <c r="BP31" s="1">
        <v>0.0</v>
      </c>
      <c r="BQ31" s="1">
        <v>0.0</v>
      </c>
      <c r="BR31" s="1">
        <v>-9.948502798</v>
      </c>
      <c r="BS31" s="1">
        <v>-0.9869399781</v>
      </c>
      <c r="BT31" s="1">
        <v>24.58897463</v>
      </c>
      <c r="BU31" s="1">
        <v>3.146824507</v>
      </c>
      <c r="BV31" s="1">
        <v>1.042579406</v>
      </c>
      <c r="BW31" s="1">
        <v>7.763158987</v>
      </c>
      <c r="BX31" s="1">
        <v>25.27623474</v>
      </c>
      <c r="BY31" s="1">
        <v>19.20857157</v>
      </c>
      <c r="BZ31" s="1">
        <v>0.0</v>
      </c>
      <c r="CA31" s="1">
        <v>0.0</v>
      </c>
      <c r="CB31" s="1">
        <v>0.0</v>
      </c>
      <c r="CC31" s="1">
        <v>-2.1280951</v>
      </c>
      <c r="CD31" s="1">
        <v>5.088864273</v>
      </c>
      <c r="CE31" s="1">
        <v>0.0</v>
      </c>
      <c r="CF31" s="1">
        <v>0.0</v>
      </c>
      <c r="CG31" s="1">
        <v>-1.171404308</v>
      </c>
      <c r="CH31" s="1">
        <v>3.312190303</v>
      </c>
      <c r="CI31" s="1">
        <v>0.0</v>
      </c>
      <c r="CJ31" s="1">
        <v>0.0</v>
      </c>
      <c r="CK31" s="1">
        <v>3.458845747</v>
      </c>
      <c r="CL31" s="1">
        <v>3.455107973</v>
      </c>
      <c r="CM31" s="1">
        <v>3.458845747</v>
      </c>
      <c r="CN31" s="1">
        <v>1.300401402</v>
      </c>
      <c r="CO31" s="1">
        <v>3.163859694</v>
      </c>
      <c r="CP31" s="1">
        <v>0.7469748015</v>
      </c>
      <c r="CQ31" s="1">
        <v>-0.2470774098</v>
      </c>
      <c r="CR31" s="1">
        <v>0.09228916311</v>
      </c>
      <c r="CS31" s="1">
        <v>0.0</v>
      </c>
      <c r="CT31" s="1">
        <v>0.0</v>
      </c>
      <c r="CU31" s="1">
        <v>0.0</v>
      </c>
      <c r="CV31" s="1">
        <v>216.573794</v>
      </c>
      <c r="CW31" s="1">
        <v>-491.4050396</v>
      </c>
      <c r="CX31" s="1">
        <v>-534.0942003</v>
      </c>
      <c r="CY31" s="1">
        <v>95.04849327</v>
      </c>
      <c r="CZ31" s="1">
        <v>1.086871638</v>
      </c>
      <c r="DA31" s="1">
        <v>0.4388734735</v>
      </c>
      <c r="DB31" s="1">
        <v>3.471181771</v>
      </c>
      <c r="DC31" s="1">
        <v>1.084036039</v>
      </c>
      <c r="DD31" s="1">
        <v>15.55</v>
      </c>
      <c r="DE31" s="1">
        <v>1.162</v>
      </c>
      <c r="DF31" s="1">
        <v>100.0</v>
      </c>
      <c r="DG31" s="1">
        <v>311.791</v>
      </c>
      <c r="DH31" s="1">
        <v>56.70225583</v>
      </c>
      <c r="DI31" s="1">
        <v>326.0832604</v>
      </c>
    </row>
    <row r="32">
      <c r="A32" s="1">
        <v>3.5</v>
      </c>
      <c r="B32" s="1">
        <v>15.55654895</v>
      </c>
      <c r="C32" s="1">
        <v>34.8</v>
      </c>
      <c r="D32" s="1">
        <v>2.0</v>
      </c>
      <c r="E32" s="1" t="s">
        <v>135</v>
      </c>
      <c r="F32" s="1">
        <v>484.3094411</v>
      </c>
      <c r="G32" s="1">
        <v>217.0750654</v>
      </c>
      <c r="H32" s="1">
        <v>3.190096497</v>
      </c>
      <c r="I32" s="1">
        <v>1.425219471</v>
      </c>
      <c r="J32" s="1">
        <v>1.422981212</v>
      </c>
      <c r="K32" s="1">
        <v>0.6572952541</v>
      </c>
      <c r="L32" s="1">
        <v>2.231068963</v>
      </c>
      <c r="M32" s="1">
        <v>56.5508532</v>
      </c>
      <c r="N32" s="1">
        <v>43.4491468</v>
      </c>
      <c r="O32" s="1">
        <v>3.084342359</v>
      </c>
      <c r="P32" s="4">
        <v>2.34E-7</v>
      </c>
      <c r="Q32" s="4">
        <v>1.57E-4</v>
      </c>
      <c r="R32" s="1">
        <v>1.424901186</v>
      </c>
      <c r="S32" s="4">
        <v>2.09E-8</v>
      </c>
      <c r="T32" s="4">
        <v>1.01E-4</v>
      </c>
      <c r="U32" s="1">
        <v>56.56416695</v>
      </c>
      <c r="V32" s="4">
        <v>5.23E-5</v>
      </c>
      <c r="W32" s="4">
        <v>1.28E-4</v>
      </c>
      <c r="X32" s="1">
        <v>185.1511636</v>
      </c>
      <c r="Y32" s="1">
        <v>40.89785066</v>
      </c>
      <c r="Z32" s="1">
        <v>137.8610421</v>
      </c>
      <c r="AA32" s="1">
        <v>12.54525637</v>
      </c>
      <c r="AB32" s="1">
        <v>9.471355448</v>
      </c>
      <c r="AC32" s="1">
        <v>5.23187891</v>
      </c>
      <c r="AD32" s="1">
        <v>4.242126454</v>
      </c>
      <c r="AE32" s="1">
        <v>4.754698784</v>
      </c>
      <c r="AF32" s="1">
        <v>5.93549606</v>
      </c>
      <c r="AG32" s="1">
        <v>4.339126263</v>
      </c>
      <c r="AH32" s="1">
        <v>5.056006257</v>
      </c>
      <c r="AI32" s="1">
        <v>6.796338552</v>
      </c>
      <c r="AJ32" s="1">
        <v>1.007111947</v>
      </c>
      <c r="AK32" s="1">
        <v>0.8039084879</v>
      </c>
      <c r="AL32" s="1">
        <v>13.98848386</v>
      </c>
      <c r="AM32" s="1">
        <v>0.9787340987</v>
      </c>
      <c r="AN32" s="1">
        <v>0.7387150108</v>
      </c>
      <c r="AO32" s="1">
        <v>5.502397079</v>
      </c>
      <c r="AP32" s="1">
        <v>0.0</v>
      </c>
      <c r="AQ32" s="1">
        <v>0.0</v>
      </c>
      <c r="AR32" s="1">
        <v>207.6072241</v>
      </c>
      <c r="AS32" s="1">
        <v>107.8037333</v>
      </c>
      <c r="AT32" s="1">
        <v>154.3886031</v>
      </c>
      <c r="AU32" s="1">
        <v>46.31088511</v>
      </c>
      <c r="AV32" s="1">
        <v>3.984308065</v>
      </c>
      <c r="AW32" s="1">
        <v>0.0</v>
      </c>
      <c r="AX32" s="1">
        <v>0.0</v>
      </c>
      <c r="AY32" s="1">
        <v>27.426772</v>
      </c>
      <c r="AZ32" s="1">
        <v>58.24232789</v>
      </c>
      <c r="BA32" s="1">
        <v>19.00746593</v>
      </c>
      <c r="BB32" s="1">
        <v>0.0</v>
      </c>
      <c r="BC32" s="1">
        <v>0.0</v>
      </c>
      <c r="BD32" s="1">
        <v>-1.060880251</v>
      </c>
      <c r="BE32" s="1">
        <v>3.127167498</v>
      </c>
      <c r="BF32" s="1">
        <v>118.1778454</v>
      </c>
      <c r="BG32" s="1">
        <v>20.4282799</v>
      </c>
      <c r="BH32" s="1">
        <v>0.0</v>
      </c>
      <c r="BI32" s="1">
        <v>0.0</v>
      </c>
      <c r="BJ32" s="1">
        <v>0.0</v>
      </c>
      <c r="BK32" s="1">
        <v>0.0</v>
      </c>
      <c r="BL32" s="1">
        <v>0.0</v>
      </c>
      <c r="BM32" s="1">
        <v>0.0</v>
      </c>
      <c r="BN32" s="1">
        <v>0.0</v>
      </c>
      <c r="BO32" s="1">
        <v>0.0</v>
      </c>
      <c r="BP32" s="1">
        <v>0.0</v>
      </c>
      <c r="BQ32" s="1">
        <v>0.0</v>
      </c>
      <c r="BR32" s="1">
        <v>-9.994699218</v>
      </c>
      <c r="BS32" s="1">
        <v>-1.007962637</v>
      </c>
      <c r="BT32" s="1">
        <v>25.22234383</v>
      </c>
      <c r="BU32" s="1">
        <v>3.295119806</v>
      </c>
      <c r="BV32" s="1">
        <v>0.7479733084</v>
      </c>
      <c r="BW32" s="1">
        <v>6.630609667</v>
      </c>
      <c r="BX32" s="1">
        <v>24.90851525</v>
      </c>
      <c r="BY32" s="1">
        <v>21.11444953</v>
      </c>
      <c r="BZ32" s="1">
        <v>0.0</v>
      </c>
      <c r="CA32" s="1">
        <v>0.0</v>
      </c>
      <c r="CB32" s="1">
        <v>0.0</v>
      </c>
      <c r="CC32" s="1">
        <v>-2.0691267</v>
      </c>
      <c r="CD32" s="1">
        <v>5.20444838</v>
      </c>
      <c r="CE32" s="1">
        <v>0.0</v>
      </c>
      <c r="CF32" s="1">
        <v>0.0</v>
      </c>
      <c r="CG32" s="1">
        <v>-1.015725236</v>
      </c>
      <c r="CH32" s="1">
        <v>3.219402426</v>
      </c>
      <c r="CI32" s="1">
        <v>0.0</v>
      </c>
      <c r="CJ32" s="1">
        <v>0.0</v>
      </c>
      <c r="CK32" s="1">
        <v>3.268293139</v>
      </c>
      <c r="CL32" s="1">
        <v>4.539241408</v>
      </c>
      <c r="CM32" s="1">
        <v>3.268293139</v>
      </c>
      <c r="CN32" s="1">
        <v>1.2763442</v>
      </c>
      <c r="CO32" s="1">
        <v>3.146606905</v>
      </c>
      <c r="CP32" s="1">
        <v>-0.1446336745</v>
      </c>
      <c r="CQ32" s="1">
        <v>-0.1984044984</v>
      </c>
      <c r="CR32" s="1">
        <v>0.08846928067</v>
      </c>
      <c r="CS32" s="1">
        <v>0.0</v>
      </c>
      <c r="CT32" s="1">
        <v>0.0</v>
      </c>
      <c r="CU32" s="1">
        <v>0.0</v>
      </c>
      <c r="CV32" s="1">
        <v>217.0750654</v>
      </c>
      <c r="CW32" s="1">
        <v>-484.3094411</v>
      </c>
      <c r="CX32" s="1">
        <v>-521.6216274</v>
      </c>
      <c r="CY32" s="1">
        <v>94.30830572</v>
      </c>
      <c r="CZ32" s="1">
        <v>1.077042038</v>
      </c>
      <c r="DA32" s="1">
        <v>0.4344502007</v>
      </c>
      <c r="DB32" s="1">
        <v>3.471172892</v>
      </c>
      <c r="DC32" s="1">
        <v>1.084154695</v>
      </c>
      <c r="DD32" s="1">
        <v>15.55</v>
      </c>
      <c r="DE32" s="1">
        <v>1.162</v>
      </c>
      <c r="DF32" s="1">
        <v>100.0</v>
      </c>
      <c r="DG32" s="1">
        <v>120.837</v>
      </c>
      <c r="DH32" s="1">
        <v>11.25911222</v>
      </c>
      <c r="DI32" s="1">
        <v>27.02186933</v>
      </c>
    </row>
    <row r="34" ht="15.0" customHeight="1">
      <c r="A34" s="1" t="s">
        <v>140</v>
      </c>
    </row>
    <row r="35" ht="15.0" customHeight="1">
      <c r="A35" s="22" t="s">
        <v>141</v>
      </c>
      <c r="B35" s="23" t="s">
        <v>142</v>
      </c>
      <c r="C35" s="24"/>
      <c r="D35" s="25" t="s">
        <v>143</v>
      </c>
      <c r="E35" s="23" t="s">
        <v>144</v>
      </c>
      <c r="F35" s="23" t="s">
        <v>145</v>
      </c>
      <c r="G35" s="23" t="s">
        <v>146</v>
      </c>
      <c r="H35" s="23" t="s">
        <v>147</v>
      </c>
      <c r="I35" s="26" t="s">
        <v>148</v>
      </c>
      <c r="J35" s="25" t="s">
        <v>149</v>
      </c>
      <c r="K35" s="27" t="s">
        <v>150</v>
      </c>
      <c r="L35" s="28" t="s">
        <v>151</v>
      </c>
      <c r="M35" s="27" t="s">
        <v>150</v>
      </c>
      <c r="N35" s="28" t="s">
        <v>152</v>
      </c>
      <c r="O35" s="27" t="s">
        <v>153</v>
      </c>
      <c r="P35" s="28" t="s">
        <v>154</v>
      </c>
      <c r="Q35" s="27" t="s">
        <v>155</v>
      </c>
      <c r="R35" s="28" t="s">
        <v>156</v>
      </c>
      <c r="S35" s="28" t="s">
        <v>157</v>
      </c>
      <c r="T35" s="28" t="s">
        <v>158</v>
      </c>
      <c r="U35" s="28" t="s">
        <v>159</v>
      </c>
      <c r="V35" s="29" t="s">
        <v>160</v>
      </c>
      <c r="W35" s="22" t="s">
        <v>161</v>
      </c>
      <c r="X35" s="30" t="s">
        <v>162</v>
      </c>
      <c r="Y35" s="31" t="s">
        <v>163</v>
      </c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22" t="s">
        <v>141</v>
      </c>
      <c r="AN35" s="23" t="s">
        <v>142</v>
      </c>
      <c r="AO35" s="25" t="s">
        <v>143</v>
      </c>
      <c r="AP35" s="23" t="s">
        <v>144</v>
      </c>
      <c r="AQ35" s="23" t="s">
        <v>164</v>
      </c>
      <c r="AR35" s="23" t="s">
        <v>165</v>
      </c>
      <c r="AS35" s="23" t="s">
        <v>166</v>
      </c>
      <c r="AT35" s="23" t="s">
        <v>167</v>
      </c>
      <c r="AU35" s="26" t="s">
        <v>168</v>
      </c>
      <c r="AV35" s="23" t="s">
        <v>169</v>
      </c>
      <c r="AW35" s="26" t="s">
        <v>148</v>
      </c>
      <c r="AX35" s="23" t="s">
        <v>170</v>
      </c>
      <c r="AY35" s="25" t="s">
        <v>171</v>
      </c>
      <c r="AZ35" s="30" t="s">
        <v>172</v>
      </c>
      <c r="BA35" s="33" t="s">
        <v>163</v>
      </c>
      <c r="BB35" s="34" t="s">
        <v>173</v>
      </c>
      <c r="BC35" s="23" t="s">
        <v>174</v>
      </c>
      <c r="BD35" s="34" t="s">
        <v>175</v>
      </c>
      <c r="BE35" s="23" t="s">
        <v>176</v>
      </c>
      <c r="BF35" s="23" t="s">
        <v>177</v>
      </c>
      <c r="BG35" s="23" t="s">
        <v>178</v>
      </c>
      <c r="BH35" s="23" t="s">
        <v>179</v>
      </c>
      <c r="BI35" s="23" t="s">
        <v>180</v>
      </c>
      <c r="BJ35" s="23" t="s">
        <v>181</v>
      </c>
      <c r="BK35" s="23" t="s">
        <v>182</v>
      </c>
      <c r="BL35" s="23" t="s">
        <v>183</v>
      </c>
      <c r="BM35" s="23" t="s">
        <v>184</v>
      </c>
      <c r="BN35" s="26" t="s">
        <v>185</v>
      </c>
      <c r="BO35" s="32"/>
      <c r="BP35" s="32"/>
      <c r="BQ35" s="32"/>
    </row>
    <row r="36" ht="15.0" customHeight="1">
      <c r="A36" s="35">
        <v>1.0</v>
      </c>
      <c r="B36" s="36" t="s">
        <v>186</v>
      </c>
      <c r="C36" s="37"/>
      <c r="D36" s="38">
        <v>1.0</v>
      </c>
      <c r="E36" s="39">
        <v>0.12</v>
      </c>
      <c r="F36" s="39">
        <v>0.0</v>
      </c>
      <c r="G36" s="40"/>
      <c r="H36" s="39">
        <v>0.0</v>
      </c>
      <c r="I36" s="41">
        <v>0.02</v>
      </c>
      <c r="J36" s="42">
        <v>2.659</v>
      </c>
      <c r="K36" s="44"/>
      <c r="L36" s="42">
        <v>-142.714</v>
      </c>
      <c r="M36" s="44"/>
      <c r="N36" s="42">
        <v>-71.414</v>
      </c>
      <c r="O36" s="44"/>
      <c r="P36" s="42">
        <v>-71.288</v>
      </c>
      <c r="Q36" s="44"/>
      <c r="R36" s="42">
        <v>-0.12600000000000477</v>
      </c>
      <c r="S36" s="42">
        <v>-8.264</v>
      </c>
      <c r="T36" s="42">
        <v>-0.238</v>
      </c>
      <c r="U36" s="42">
        <v>0.753</v>
      </c>
      <c r="V36" s="42">
        <v>2.241</v>
      </c>
      <c r="W36" s="47">
        <v>0.1065</v>
      </c>
      <c r="X36" s="42">
        <v>-2.376</v>
      </c>
      <c r="Y36" s="48" t="s">
        <v>193</v>
      </c>
      <c r="Z36" s="49">
        <f>MIN(W38:W121)</f>
        <v>0.797</v>
      </c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5">
        <v>1.0</v>
      </c>
      <c r="AN36" s="37" t="s">
        <v>186</v>
      </c>
      <c r="AO36" s="38">
        <v>1.0</v>
      </c>
      <c r="AP36" s="39">
        <v>0.12</v>
      </c>
      <c r="AQ36" s="39">
        <v>66.43</v>
      </c>
      <c r="AR36" s="39">
        <v>40.0</v>
      </c>
      <c r="AS36" s="39">
        <v>11.55</v>
      </c>
      <c r="AT36" s="39">
        <v>0.0</v>
      </c>
      <c r="AU36" s="41">
        <v>0.0</v>
      </c>
      <c r="AV36" s="38" t="s">
        <v>205</v>
      </c>
      <c r="AW36" s="39">
        <v>0.02</v>
      </c>
      <c r="AX36" s="35">
        <v>0.0</v>
      </c>
      <c r="AY36" s="42">
        <v>0.1065</v>
      </c>
      <c r="AZ36" s="42">
        <v>-2.376</v>
      </c>
      <c r="BA36" s="48" t="s">
        <v>193</v>
      </c>
      <c r="BB36" s="39">
        <v>0.0</v>
      </c>
      <c r="BC36" s="39">
        <v>0.0</v>
      </c>
      <c r="BD36" s="50">
        <v>1.0909</v>
      </c>
      <c r="BE36" s="39">
        <v>4.36</v>
      </c>
      <c r="BF36" s="39">
        <v>-233.8</v>
      </c>
      <c r="BG36" s="39">
        <v>-57.77</v>
      </c>
      <c r="BH36" s="39">
        <v>-59.25</v>
      </c>
      <c r="BI36" s="39">
        <v>-57.65</v>
      </c>
      <c r="BJ36" s="39">
        <v>-59.13</v>
      </c>
      <c r="BK36" s="39">
        <v>-13.54</v>
      </c>
      <c r="BL36" s="39">
        <v>-0.61</v>
      </c>
      <c r="BM36" s="39">
        <v>1.95</v>
      </c>
      <c r="BN36" s="41">
        <v>5.8</v>
      </c>
      <c r="BO36" s="40"/>
      <c r="BP36" s="40"/>
      <c r="BQ36" s="40"/>
    </row>
    <row r="37" ht="15.0" customHeight="1">
      <c r="A37" s="51"/>
      <c r="B37" s="37"/>
      <c r="C37" s="37"/>
      <c r="D37" s="37"/>
      <c r="E37" s="37"/>
      <c r="F37" s="37"/>
      <c r="G37" s="37"/>
      <c r="H37" s="37"/>
      <c r="I37" s="52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51"/>
      <c r="X37" s="37"/>
      <c r="Y37" s="52"/>
      <c r="Z37" s="49">
        <f>MAX(W38:W121)</f>
        <v>0.9523</v>
      </c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51"/>
      <c r="AN37" s="37"/>
      <c r="AO37" s="37"/>
      <c r="AP37" s="37"/>
      <c r="AQ37" s="37"/>
      <c r="AR37" s="37"/>
      <c r="AS37" s="37"/>
      <c r="AT37" s="37"/>
      <c r="AU37" s="52"/>
      <c r="AV37" s="37"/>
      <c r="AW37" s="37"/>
      <c r="AX37" s="51"/>
      <c r="AY37" s="37"/>
      <c r="AZ37" s="37"/>
      <c r="BA37" s="52"/>
      <c r="BB37" s="37"/>
      <c r="BC37" s="37"/>
      <c r="BD37" s="51"/>
      <c r="BE37" s="37"/>
      <c r="BF37" s="37"/>
      <c r="BG37" s="37"/>
      <c r="BH37" s="37"/>
      <c r="BI37" s="37"/>
      <c r="BJ37" s="37"/>
      <c r="BK37" s="37"/>
      <c r="BL37" s="37"/>
      <c r="BM37" s="37"/>
      <c r="BN37" s="52"/>
      <c r="BO37" s="37"/>
      <c r="BP37" s="37"/>
      <c r="BQ37" s="37"/>
    </row>
    <row r="38" ht="15.0" customHeight="1">
      <c r="A38" s="35">
        <v>1.0</v>
      </c>
      <c r="B38" s="36" t="s">
        <v>210</v>
      </c>
      <c r="C38" s="37"/>
      <c r="D38" s="38">
        <v>1.0</v>
      </c>
      <c r="E38" s="39">
        <v>0.0</v>
      </c>
      <c r="F38" s="39">
        <v>23.3</v>
      </c>
      <c r="G38" s="39">
        <f t="shared" ref="G38:G42" si="4">F38/2.237
</f>
        <v>10.41573536</v>
      </c>
      <c r="H38" s="39">
        <v>1.0</v>
      </c>
      <c r="I38" s="41">
        <v>0.05</v>
      </c>
      <c r="J38" s="42">
        <v>1.026</v>
      </c>
      <c r="K38" s="42">
        <f>J38/1.409</f>
        <v>0.7281760114</v>
      </c>
      <c r="L38" s="42">
        <v>-1.655</v>
      </c>
      <c r="M38" s="42">
        <f>L38/2.654</f>
        <v>-0.6235870384</v>
      </c>
      <c r="N38" s="42">
        <v>-0.82</v>
      </c>
      <c r="O38" s="44"/>
      <c r="P38" s="42">
        <v>-0.835</v>
      </c>
      <c r="Q38" s="44"/>
      <c r="R38" s="42">
        <v>0.015000000000000013</v>
      </c>
      <c r="S38" s="42">
        <v>0.021</v>
      </c>
      <c r="T38" s="42">
        <v>0.026</v>
      </c>
      <c r="U38" s="42">
        <v>-0.007</v>
      </c>
      <c r="V38" s="42">
        <v>0.0</v>
      </c>
      <c r="W38" s="47">
        <v>0.8035</v>
      </c>
      <c r="X38" s="42">
        <v>-0.20200000000000007</v>
      </c>
      <c r="Y38" s="48" t="s">
        <v>193</v>
      </c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53">
        <f>BL38/(47.8803*AT38*1.091*1.585)</f>
        <v>0.02693357377</v>
      </c>
      <c r="AM38" s="35">
        <v>1.0</v>
      </c>
      <c r="AN38" s="37" t="s">
        <v>210</v>
      </c>
      <c r="AO38" s="38">
        <v>1.0</v>
      </c>
      <c r="AP38" s="39">
        <v>0.0</v>
      </c>
      <c r="AQ38" s="39">
        <v>70.96</v>
      </c>
      <c r="AR38" s="39">
        <v>40.0</v>
      </c>
      <c r="AS38" s="39">
        <v>15.81</v>
      </c>
      <c r="AT38" s="39">
        <v>1.0</v>
      </c>
      <c r="AU38" s="41">
        <v>23.3</v>
      </c>
      <c r="AV38" s="38" t="s">
        <v>213</v>
      </c>
      <c r="AW38" s="39">
        <v>0.05</v>
      </c>
      <c r="AX38" s="35">
        <v>0.0</v>
      </c>
      <c r="AY38" s="42">
        <v>0.8035</v>
      </c>
      <c r="AZ38" s="42">
        <v>-0.20200000000000007</v>
      </c>
      <c r="BA38" s="48" t="s">
        <v>193</v>
      </c>
      <c r="BB38" s="39">
        <v>93.0</v>
      </c>
      <c r="BC38" s="39">
        <v>35.37</v>
      </c>
      <c r="BD38" s="50">
        <v>1.0909</v>
      </c>
      <c r="BE38" s="39">
        <v>56.03</v>
      </c>
      <c r="BF38" s="39">
        <v>-90.37</v>
      </c>
      <c r="BG38" s="39">
        <v>-22.37</v>
      </c>
      <c r="BH38" s="39">
        <v>-22.38</v>
      </c>
      <c r="BI38" s="39">
        <v>-22.8</v>
      </c>
      <c r="BJ38" s="39">
        <v>-22.81</v>
      </c>
      <c r="BK38" s="39">
        <v>1.16</v>
      </c>
      <c r="BL38" s="39">
        <v>2.23</v>
      </c>
      <c r="BM38" s="39">
        <v>-0.65</v>
      </c>
      <c r="BN38" s="41">
        <v>0.03</v>
      </c>
      <c r="BO38" s="39">
        <f t="shared" ref="BO38:BO60" si="5">BL38/BF38</f>
        <v>-0.02467633064</v>
      </c>
      <c r="BP38" s="39">
        <f t="shared" ref="BP38:BP60" si="6">BM38/BE38</f>
        <v>-0.01160092807</v>
      </c>
      <c r="BQ38" s="39">
        <f t="shared" ref="BQ38:BQ60" si="7">BN38/BK38</f>
        <v>0.02586206897</v>
      </c>
    </row>
    <row r="39" ht="15.0" customHeight="1">
      <c r="A39" s="35">
        <v>1.0</v>
      </c>
      <c r="B39" s="36" t="s">
        <v>210</v>
      </c>
      <c r="C39" s="37"/>
      <c r="D39" s="38">
        <v>2.0</v>
      </c>
      <c r="E39" s="39">
        <v>0.0</v>
      </c>
      <c r="F39" s="39">
        <v>29.1</v>
      </c>
      <c r="G39" s="39">
        <f t="shared" si="4"/>
        <v>13.00849352</v>
      </c>
      <c r="H39" s="39">
        <v>1.7</v>
      </c>
      <c r="I39" s="41">
        <v>0.09</v>
      </c>
      <c r="J39" s="42">
        <v>1.046</v>
      </c>
      <c r="K39" s="44"/>
      <c r="L39" s="42">
        <v>-1.729</v>
      </c>
      <c r="M39" s="44"/>
      <c r="N39" s="42">
        <v>-0.863</v>
      </c>
      <c r="O39" s="44"/>
      <c r="P39" s="42">
        <v>-0.872</v>
      </c>
      <c r="Q39" s="44"/>
      <c r="R39" s="42">
        <v>0.009000000000000008</v>
      </c>
      <c r="S39" s="42">
        <v>0.013</v>
      </c>
      <c r="T39" s="42">
        <v>0.015</v>
      </c>
      <c r="U39" s="42">
        <v>-0.009</v>
      </c>
      <c r="V39" s="42">
        <v>-0.008</v>
      </c>
      <c r="W39" s="47">
        <v>0.8764</v>
      </c>
      <c r="X39" s="42">
        <v>-0.129</v>
      </c>
      <c r="Y39" s="48" t="s">
        <v>193</v>
      </c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5">
        <v>1.0</v>
      </c>
      <c r="AN39" s="37" t="s">
        <v>210</v>
      </c>
      <c r="AO39" s="38">
        <v>2.0</v>
      </c>
      <c r="AP39" s="39">
        <v>0.0</v>
      </c>
      <c r="AQ39" s="39">
        <v>72.39</v>
      </c>
      <c r="AR39" s="39">
        <v>40.0</v>
      </c>
      <c r="AS39" s="39">
        <v>14.69</v>
      </c>
      <c r="AT39" s="39">
        <v>1.7</v>
      </c>
      <c r="AU39" s="41">
        <v>29.1</v>
      </c>
      <c r="AV39" s="38" t="s">
        <v>213</v>
      </c>
      <c r="AW39" s="39">
        <v>0.09</v>
      </c>
      <c r="AX39" s="35">
        <v>0.0</v>
      </c>
      <c r="AY39" s="42">
        <v>0.8764</v>
      </c>
      <c r="AZ39" s="42">
        <v>-0.129</v>
      </c>
      <c r="BA39" s="48" t="s">
        <v>193</v>
      </c>
      <c r="BB39" s="39">
        <v>138.5</v>
      </c>
      <c r="BC39" s="39">
        <v>45.45</v>
      </c>
      <c r="BD39" s="50">
        <v>1.0909</v>
      </c>
      <c r="BE39" s="39">
        <v>95.97</v>
      </c>
      <c r="BF39" s="39">
        <v>-158.58</v>
      </c>
      <c r="BG39" s="39">
        <v>-39.6</v>
      </c>
      <c r="BH39" s="39">
        <v>-39.29</v>
      </c>
      <c r="BI39" s="39">
        <v>-40.01</v>
      </c>
      <c r="BJ39" s="39">
        <v>-39.7</v>
      </c>
      <c r="BK39" s="39">
        <v>1.15</v>
      </c>
      <c r="BL39" s="39">
        <v>2.13</v>
      </c>
      <c r="BM39" s="39">
        <v>-1.3</v>
      </c>
      <c r="BN39" s="41">
        <v>-1.22</v>
      </c>
      <c r="BO39" s="39">
        <f t="shared" si="5"/>
        <v>-0.01343170639</v>
      </c>
      <c r="BP39" s="39">
        <f t="shared" si="6"/>
        <v>-0.01354589976</v>
      </c>
      <c r="BQ39" s="39">
        <f t="shared" si="7"/>
        <v>-1.060869565</v>
      </c>
    </row>
    <row r="40" ht="15.0" customHeight="1">
      <c r="A40" s="35">
        <v>1.0</v>
      </c>
      <c r="B40" s="36" t="s">
        <v>210</v>
      </c>
      <c r="C40" s="37"/>
      <c r="D40" s="38">
        <v>3.0</v>
      </c>
      <c r="E40" s="39">
        <v>0.0</v>
      </c>
      <c r="F40" s="39">
        <v>34.9</v>
      </c>
      <c r="G40" s="39">
        <f t="shared" si="4"/>
        <v>15.60125168</v>
      </c>
      <c r="H40" s="39">
        <v>2.6</v>
      </c>
      <c r="I40" s="41">
        <v>0.14</v>
      </c>
      <c r="J40" s="42">
        <v>1.054</v>
      </c>
      <c r="K40" s="42">
        <f>J40/1.41</f>
        <v>0.7475177305</v>
      </c>
      <c r="L40" s="42">
        <v>-1.759</v>
      </c>
      <c r="M40" s="42">
        <f>L40/2.68</f>
        <v>-0.6563432836</v>
      </c>
      <c r="N40" s="42">
        <v>-0.87</v>
      </c>
      <c r="O40" s="44"/>
      <c r="P40" s="42">
        <v>-0.883</v>
      </c>
      <c r="Q40" s="44"/>
      <c r="R40" s="42">
        <v>0.013000000000000012</v>
      </c>
      <c r="S40" s="42">
        <v>0.005</v>
      </c>
      <c r="T40" s="42">
        <v>0.022</v>
      </c>
      <c r="U40" s="42">
        <v>-0.009</v>
      </c>
      <c r="V40" s="42">
        <v>-0.012</v>
      </c>
      <c r="W40" s="47">
        <v>0.9147</v>
      </c>
      <c r="X40" s="42">
        <v>-0.09000000000000008</v>
      </c>
      <c r="Y40" s="48" t="s">
        <v>193</v>
      </c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5">
        <v>1.0</v>
      </c>
      <c r="AN40" s="37" t="s">
        <v>210</v>
      </c>
      <c r="AO40" s="38">
        <v>3.0</v>
      </c>
      <c r="AP40" s="39">
        <v>0.0</v>
      </c>
      <c r="AQ40" s="39">
        <v>72.54</v>
      </c>
      <c r="AR40" s="39">
        <v>40.0</v>
      </c>
      <c r="AS40" s="39">
        <v>14.5</v>
      </c>
      <c r="AT40" s="39">
        <v>2.6</v>
      </c>
      <c r="AU40" s="41">
        <v>34.9</v>
      </c>
      <c r="AV40" s="38" t="s">
        <v>213</v>
      </c>
      <c r="AW40" s="39">
        <v>0.14</v>
      </c>
      <c r="AX40" s="35">
        <v>0.0</v>
      </c>
      <c r="AY40" s="42">
        <v>0.9147</v>
      </c>
      <c r="AZ40" s="42">
        <v>-0.09000000000000008</v>
      </c>
      <c r="BA40" s="48" t="s">
        <v>193</v>
      </c>
      <c r="BB40" s="39">
        <v>197.0</v>
      </c>
      <c r="BC40" s="39">
        <v>55.37</v>
      </c>
      <c r="BD40" s="50">
        <v>1.0909</v>
      </c>
      <c r="BE40" s="39">
        <v>146.19</v>
      </c>
      <c r="BF40" s="39">
        <v>-243.93</v>
      </c>
      <c r="BG40" s="39">
        <v>-60.84</v>
      </c>
      <c r="BH40" s="39">
        <v>-60.18</v>
      </c>
      <c r="BI40" s="39">
        <v>-61.78</v>
      </c>
      <c r="BJ40" s="39">
        <v>-61.13</v>
      </c>
      <c r="BK40" s="39">
        <v>0.76</v>
      </c>
      <c r="BL40" s="39">
        <v>4.94</v>
      </c>
      <c r="BM40" s="39">
        <v>-1.95</v>
      </c>
      <c r="BN40" s="41">
        <v>-2.57</v>
      </c>
      <c r="BO40" s="39">
        <f t="shared" si="5"/>
        <v>-0.02025171156</v>
      </c>
      <c r="BP40" s="39">
        <f t="shared" si="6"/>
        <v>-0.01333880566</v>
      </c>
      <c r="BQ40" s="39">
        <f t="shared" si="7"/>
        <v>-3.381578947</v>
      </c>
    </row>
    <row r="41" ht="15.0" customHeight="1">
      <c r="A41" s="35">
        <v>1.0</v>
      </c>
      <c r="B41" s="36" t="s">
        <v>210</v>
      </c>
      <c r="C41" s="37"/>
      <c r="D41" s="38">
        <v>4.0</v>
      </c>
      <c r="E41" s="39">
        <v>0.0</v>
      </c>
      <c r="F41" s="39">
        <v>40.5</v>
      </c>
      <c r="G41" s="39">
        <f t="shared" si="4"/>
        <v>18.10460438</v>
      </c>
      <c r="H41" s="39">
        <v>3.7</v>
      </c>
      <c r="I41" s="41">
        <v>0.19</v>
      </c>
      <c r="J41" s="42">
        <v>1.056</v>
      </c>
      <c r="K41" s="44"/>
      <c r="L41" s="42">
        <v>-1.778</v>
      </c>
      <c r="M41" s="44"/>
      <c r="N41" s="42">
        <v>-0.88</v>
      </c>
      <c r="O41" s="44"/>
      <c r="P41" s="42">
        <v>-0.896</v>
      </c>
      <c r="Q41" s="44"/>
      <c r="R41" s="42">
        <v>0.016000000000000014</v>
      </c>
      <c r="S41" s="42">
        <v>0.004</v>
      </c>
      <c r="T41" s="42">
        <v>0.027</v>
      </c>
      <c r="U41" s="42">
        <v>-0.008</v>
      </c>
      <c r="V41" s="42">
        <v>-0.014</v>
      </c>
      <c r="W41" s="47">
        <v>0.9355</v>
      </c>
      <c r="X41" s="42">
        <v>-0.06800000000000006</v>
      </c>
      <c r="Y41" s="48" t="s">
        <v>193</v>
      </c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5">
        <v>1.0</v>
      </c>
      <c r="AN41" s="37" t="s">
        <v>210</v>
      </c>
      <c r="AO41" s="38">
        <v>4.0</v>
      </c>
      <c r="AP41" s="39">
        <v>0.0</v>
      </c>
      <c r="AQ41" s="39">
        <v>72.51</v>
      </c>
      <c r="AR41" s="39">
        <v>40.0</v>
      </c>
      <c r="AS41" s="39">
        <v>14.65</v>
      </c>
      <c r="AT41" s="39">
        <v>3.7</v>
      </c>
      <c r="AU41" s="41">
        <v>40.5</v>
      </c>
      <c r="AV41" s="38" t="s">
        <v>213</v>
      </c>
      <c r="AW41" s="39">
        <v>0.19</v>
      </c>
      <c r="AX41" s="35">
        <v>0.0</v>
      </c>
      <c r="AY41" s="42">
        <v>0.9355</v>
      </c>
      <c r="AZ41" s="42">
        <v>-0.06800000000000006</v>
      </c>
      <c r="BA41" s="48" t="s">
        <v>193</v>
      </c>
      <c r="BB41" s="39">
        <v>268.17</v>
      </c>
      <c r="BC41" s="39">
        <v>64.75</v>
      </c>
      <c r="BD41" s="50">
        <v>1.0909</v>
      </c>
      <c r="BE41" s="39">
        <v>202.14</v>
      </c>
      <c r="BF41" s="39">
        <v>-340.35</v>
      </c>
      <c r="BG41" s="39">
        <v>-84.82</v>
      </c>
      <c r="BH41" s="39">
        <v>-83.75</v>
      </c>
      <c r="BI41" s="39">
        <v>-86.42</v>
      </c>
      <c r="BJ41" s="39">
        <v>-85.35</v>
      </c>
      <c r="BK41" s="39">
        <v>0.76</v>
      </c>
      <c r="BL41" s="39">
        <v>8.3</v>
      </c>
      <c r="BM41" s="39">
        <v>-2.32</v>
      </c>
      <c r="BN41" s="41">
        <v>-4.22</v>
      </c>
      <c r="BO41" s="39">
        <f t="shared" si="5"/>
        <v>-0.02438666079</v>
      </c>
      <c r="BP41" s="39">
        <f t="shared" si="6"/>
        <v>-0.01147719402</v>
      </c>
      <c r="BQ41" s="39">
        <f t="shared" si="7"/>
        <v>-5.552631579</v>
      </c>
    </row>
    <row r="42" ht="15.0" customHeight="1">
      <c r="A42" s="35">
        <v>1.0</v>
      </c>
      <c r="B42" s="36" t="s">
        <v>210</v>
      </c>
      <c r="C42" s="37"/>
      <c r="D42" s="38">
        <v>5.0</v>
      </c>
      <c r="E42" s="39">
        <v>0.0</v>
      </c>
      <c r="F42" s="39">
        <v>46.3</v>
      </c>
      <c r="G42" s="39">
        <f t="shared" si="4"/>
        <v>20.69736254</v>
      </c>
      <c r="H42" s="39">
        <v>4.9</v>
      </c>
      <c r="I42" s="41">
        <v>0.26</v>
      </c>
      <c r="J42" s="42">
        <v>1.061</v>
      </c>
      <c r="K42" s="42">
        <f>J42/1.438</f>
        <v>0.7378303199</v>
      </c>
      <c r="L42" s="42">
        <v>-1.808</v>
      </c>
      <c r="M42" s="42">
        <f>L42/2.36</f>
        <v>-0.7661016949</v>
      </c>
      <c r="N42" s="42">
        <v>-0.894</v>
      </c>
      <c r="O42" s="44"/>
      <c r="P42" s="42">
        <v>-0.913</v>
      </c>
      <c r="Q42" s="44"/>
      <c r="R42" s="42">
        <v>0.019000000000000017</v>
      </c>
      <c r="S42" s="42">
        <v>0.004</v>
      </c>
      <c r="T42" s="42">
        <v>0.032</v>
      </c>
      <c r="U42" s="42">
        <v>-0.008</v>
      </c>
      <c r="V42" s="42">
        <v>-0.014</v>
      </c>
      <c r="W42" s="47">
        <v>0.9523</v>
      </c>
      <c r="X42" s="42">
        <v>-0.050000000000000044</v>
      </c>
      <c r="Y42" s="48" t="s">
        <v>193</v>
      </c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5">
        <v>1.0</v>
      </c>
      <c r="AN42" s="37" t="s">
        <v>210</v>
      </c>
      <c r="AO42" s="38">
        <v>5.0</v>
      </c>
      <c r="AP42" s="39">
        <v>0.0</v>
      </c>
      <c r="AQ42" s="39">
        <v>72.41</v>
      </c>
      <c r="AR42" s="39">
        <v>40.0</v>
      </c>
      <c r="AS42" s="39">
        <v>14.71</v>
      </c>
      <c r="AT42" s="39">
        <v>4.9</v>
      </c>
      <c r="AU42" s="41">
        <v>46.3</v>
      </c>
      <c r="AV42" s="38" t="s">
        <v>213</v>
      </c>
      <c r="AW42" s="39">
        <v>0.26</v>
      </c>
      <c r="AX42" s="35">
        <v>0.0</v>
      </c>
      <c r="AY42" s="42">
        <v>0.9523</v>
      </c>
      <c r="AZ42" s="42">
        <v>-0.050000000000000044</v>
      </c>
      <c r="BA42" s="48" t="s">
        <v>193</v>
      </c>
      <c r="BB42" s="39">
        <v>350.0</v>
      </c>
      <c r="BC42" s="39">
        <v>74.38</v>
      </c>
      <c r="BD42" s="50">
        <v>1.0909</v>
      </c>
      <c r="BE42" s="39">
        <v>270.01</v>
      </c>
      <c r="BF42" s="39">
        <v>-460.05</v>
      </c>
      <c r="BG42" s="39">
        <v>-114.52</v>
      </c>
      <c r="BH42" s="39">
        <v>-113.05</v>
      </c>
      <c r="BI42" s="39">
        <v>-116.97</v>
      </c>
      <c r="BJ42" s="39">
        <v>-115.5</v>
      </c>
      <c r="BK42" s="39">
        <v>1.0</v>
      </c>
      <c r="BL42" s="39">
        <v>12.74</v>
      </c>
      <c r="BM42" s="39">
        <v>-3.09</v>
      </c>
      <c r="BN42" s="41">
        <v>-5.8</v>
      </c>
      <c r="BO42" s="39">
        <f t="shared" si="5"/>
        <v>-0.0276926421</v>
      </c>
      <c r="BP42" s="39">
        <f t="shared" si="6"/>
        <v>-0.01144402059</v>
      </c>
      <c r="BQ42" s="39">
        <f t="shared" si="7"/>
        <v>-5.8</v>
      </c>
    </row>
    <row r="43" ht="15.0" customHeight="1">
      <c r="A43" s="51"/>
      <c r="B43" s="37"/>
      <c r="C43" s="37"/>
      <c r="D43" s="37"/>
      <c r="E43" s="37"/>
      <c r="F43" s="37"/>
      <c r="G43" s="40"/>
      <c r="H43" s="37"/>
      <c r="I43" s="52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51"/>
      <c r="X43" s="37"/>
      <c r="Y43" s="52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51"/>
      <c r="AN43" s="37"/>
      <c r="AO43" s="37"/>
      <c r="AP43" s="37"/>
      <c r="AQ43" s="37"/>
      <c r="AR43" s="37"/>
      <c r="AS43" s="37"/>
      <c r="AT43" s="37"/>
      <c r="AU43" s="52"/>
      <c r="AV43" s="37"/>
      <c r="AW43" s="37"/>
      <c r="AX43" s="51"/>
      <c r="AY43" s="37"/>
      <c r="AZ43" s="37"/>
      <c r="BA43" s="52"/>
      <c r="BB43" s="37"/>
      <c r="BC43" s="37"/>
      <c r="BD43" s="51"/>
      <c r="BE43" s="37"/>
      <c r="BF43" s="37"/>
      <c r="BG43" s="37"/>
      <c r="BH43" s="37"/>
      <c r="BI43" s="37"/>
      <c r="BJ43" s="37"/>
      <c r="BK43" s="37"/>
      <c r="BL43" s="37"/>
      <c r="BM43" s="37"/>
      <c r="BN43" s="52"/>
      <c r="BO43" s="39" t="str">
        <f t="shared" si="5"/>
        <v>#DIV/0!</v>
      </c>
      <c r="BP43" s="39" t="str">
        <f t="shared" si="6"/>
        <v>#DIV/0!</v>
      </c>
      <c r="BQ43" s="39" t="str">
        <f t="shared" si="7"/>
        <v>#DIV/0!</v>
      </c>
    </row>
    <row r="44" ht="15.0" customHeight="1">
      <c r="A44" s="35">
        <v>2.0</v>
      </c>
      <c r="B44" s="36" t="s">
        <v>214</v>
      </c>
      <c r="C44" s="37"/>
      <c r="D44" s="38">
        <v>1.0</v>
      </c>
      <c r="E44" s="39">
        <v>0.0</v>
      </c>
      <c r="F44" s="39">
        <v>23.3</v>
      </c>
      <c r="G44" s="39">
        <f t="shared" ref="G44:G51" si="8">F44/2.237
</f>
        <v>10.41573536</v>
      </c>
      <c r="H44" s="39">
        <v>1.0</v>
      </c>
      <c r="I44" s="41">
        <v>0.05</v>
      </c>
      <c r="J44" s="42">
        <v>1.028</v>
      </c>
      <c r="K44" s="44"/>
      <c r="L44" s="42">
        <v>-1.66</v>
      </c>
      <c r="M44" s="44"/>
      <c r="N44" s="42">
        <v>-0.825</v>
      </c>
      <c r="O44" s="44"/>
      <c r="P44" s="42">
        <v>-0.832</v>
      </c>
      <c r="Q44" s="44"/>
      <c r="R44" s="42">
        <v>0.007000000000000006</v>
      </c>
      <c r="S44" s="42">
        <v>0.005</v>
      </c>
      <c r="T44" s="42">
        <v>0.011</v>
      </c>
      <c r="U44" s="42">
        <v>-0.011</v>
      </c>
      <c r="V44" s="42">
        <v>-0.003</v>
      </c>
      <c r="W44" s="47">
        <v>0.8005</v>
      </c>
      <c r="X44" s="42">
        <v>-0.20500000000000007</v>
      </c>
      <c r="Y44" s="48" t="s">
        <v>193</v>
      </c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5">
        <v>2.0</v>
      </c>
      <c r="AN44" s="37" t="s">
        <v>214</v>
      </c>
      <c r="AO44" s="38">
        <v>1.0</v>
      </c>
      <c r="AP44" s="39">
        <v>0.0</v>
      </c>
      <c r="AQ44" s="39">
        <v>71.41</v>
      </c>
      <c r="AR44" s="39">
        <v>40.0</v>
      </c>
      <c r="AS44" s="39">
        <v>15.36</v>
      </c>
      <c r="AT44" s="39">
        <v>1.0</v>
      </c>
      <c r="AU44" s="41">
        <v>23.3</v>
      </c>
      <c r="AV44" s="38" t="s">
        <v>213</v>
      </c>
      <c r="AW44" s="39">
        <v>0.05</v>
      </c>
      <c r="AX44" s="35">
        <v>0.0</v>
      </c>
      <c r="AY44" s="42">
        <v>0.8005</v>
      </c>
      <c r="AZ44" s="42">
        <v>-0.20500000000000007</v>
      </c>
      <c r="BA44" s="48" t="s">
        <v>193</v>
      </c>
      <c r="BB44" s="39">
        <v>86.67</v>
      </c>
      <c r="BC44" s="39">
        <v>35.32</v>
      </c>
      <c r="BD44" s="50">
        <v>1.0909</v>
      </c>
      <c r="BE44" s="39">
        <v>56.07</v>
      </c>
      <c r="BF44" s="39">
        <v>-90.53</v>
      </c>
      <c r="BG44" s="39">
        <v>-22.57</v>
      </c>
      <c r="BH44" s="39">
        <v>-22.51</v>
      </c>
      <c r="BI44" s="39">
        <v>-22.75</v>
      </c>
      <c r="BJ44" s="39">
        <v>-22.7</v>
      </c>
      <c r="BK44" s="39">
        <v>0.3</v>
      </c>
      <c r="BL44" s="39">
        <v>0.97</v>
      </c>
      <c r="BM44" s="39">
        <v>-0.92</v>
      </c>
      <c r="BN44" s="41">
        <v>-0.23</v>
      </c>
      <c r="BO44" s="39">
        <f t="shared" si="5"/>
        <v>-0.01071468022</v>
      </c>
      <c r="BP44" s="39">
        <f t="shared" si="6"/>
        <v>-0.01640806135</v>
      </c>
      <c r="BQ44" s="39">
        <f t="shared" si="7"/>
        <v>-0.7666666667</v>
      </c>
    </row>
    <row r="45" ht="15.0" customHeight="1">
      <c r="A45" s="35">
        <v>2.0</v>
      </c>
      <c r="B45" s="36" t="s">
        <v>214</v>
      </c>
      <c r="C45" s="37"/>
      <c r="D45" s="38">
        <v>2.0</v>
      </c>
      <c r="E45" s="39">
        <v>4.0</v>
      </c>
      <c r="F45" s="39">
        <v>23.4</v>
      </c>
      <c r="G45" s="39">
        <f t="shared" si="8"/>
        <v>10.46043809</v>
      </c>
      <c r="H45" s="39">
        <v>1.0</v>
      </c>
      <c r="I45" s="41">
        <v>0.06</v>
      </c>
      <c r="J45" s="42">
        <v>1.047</v>
      </c>
      <c r="K45" s="42">
        <f>J45/1.36</f>
        <v>0.7698529412</v>
      </c>
      <c r="L45" s="42">
        <v>-1.631</v>
      </c>
      <c r="M45" s="42">
        <f>L45/2.53</f>
        <v>-0.6446640316</v>
      </c>
      <c r="N45" s="42">
        <v>-0.801</v>
      </c>
      <c r="O45" s="44"/>
      <c r="P45" s="42">
        <v>-0.822</v>
      </c>
      <c r="Q45" s="44"/>
      <c r="R45" s="42">
        <v>0.020999999999999908</v>
      </c>
      <c r="S45" s="42">
        <v>0.192</v>
      </c>
      <c r="T45" s="42">
        <v>0.036</v>
      </c>
      <c r="U45" s="42">
        <v>-0.009</v>
      </c>
      <c r="V45" s="42">
        <v>0.046</v>
      </c>
      <c r="W45" s="47">
        <v>0.8042</v>
      </c>
      <c r="X45" s="42">
        <v>-0.20499999999999996</v>
      </c>
      <c r="Y45" s="48" t="s">
        <v>193</v>
      </c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5">
        <v>2.0</v>
      </c>
      <c r="AN45" s="37" t="s">
        <v>214</v>
      </c>
      <c r="AO45" s="38">
        <v>2.0</v>
      </c>
      <c r="AP45" s="39">
        <v>4.0</v>
      </c>
      <c r="AQ45" s="39">
        <v>71.97</v>
      </c>
      <c r="AR45" s="39">
        <v>40.0</v>
      </c>
      <c r="AS45" s="39">
        <v>14.85</v>
      </c>
      <c r="AT45" s="39">
        <v>1.0</v>
      </c>
      <c r="AU45" s="41">
        <v>23.4</v>
      </c>
      <c r="AV45" s="38" t="s">
        <v>213</v>
      </c>
      <c r="AW45" s="39">
        <v>0.06</v>
      </c>
      <c r="AX45" s="35">
        <v>0.0</v>
      </c>
      <c r="AY45" s="42">
        <v>0.8042</v>
      </c>
      <c r="AZ45" s="42">
        <v>-0.20499999999999996</v>
      </c>
      <c r="BA45" s="48" t="s">
        <v>193</v>
      </c>
      <c r="BB45" s="39">
        <v>86.83</v>
      </c>
      <c r="BC45" s="39">
        <v>35.23</v>
      </c>
      <c r="BD45" s="50">
        <v>1.0909</v>
      </c>
      <c r="BE45" s="39">
        <v>57.2</v>
      </c>
      <c r="BF45" s="39">
        <v>-89.11</v>
      </c>
      <c r="BG45" s="39">
        <v>-21.47</v>
      </c>
      <c r="BH45" s="39">
        <v>-22.49</v>
      </c>
      <c r="BI45" s="39">
        <v>-22.07</v>
      </c>
      <c r="BJ45" s="39">
        <v>-23.08</v>
      </c>
      <c r="BK45" s="39">
        <v>10.48</v>
      </c>
      <c r="BL45" s="39">
        <v>3.08</v>
      </c>
      <c r="BM45" s="39">
        <v>-0.82</v>
      </c>
      <c r="BN45" s="41">
        <v>3.99</v>
      </c>
      <c r="BO45" s="39">
        <f t="shared" si="5"/>
        <v>-0.034564022</v>
      </c>
      <c r="BP45" s="39">
        <f t="shared" si="6"/>
        <v>-0.01433566434</v>
      </c>
      <c r="BQ45" s="39">
        <f t="shared" si="7"/>
        <v>0.3807251908</v>
      </c>
    </row>
    <row r="46" ht="15.0" customHeight="1">
      <c r="A46" s="35">
        <v>2.0</v>
      </c>
      <c r="B46" s="36" t="s">
        <v>214</v>
      </c>
      <c r="C46" s="37"/>
      <c r="D46" s="38">
        <v>3.0</v>
      </c>
      <c r="E46" s="39">
        <v>6.0</v>
      </c>
      <c r="F46" s="39">
        <v>23.3</v>
      </c>
      <c r="G46" s="39">
        <f t="shared" si="8"/>
        <v>10.41573536</v>
      </c>
      <c r="H46" s="39">
        <v>1.0</v>
      </c>
      <c r="I46" s="41">
        <v>0.06</v>
      </c>
      <c r="J46" s="42">
        <v>1.032</v>
      </c>
      <c r="K46" s="44"/>
      <c r="L46" s="42">
        <v>-1.617</v>
      </c>
      <c r="M46" s="44"/>
      <c r="N46" s="42">
        <v>-0.803</v>
      </c>
      <c r="O46" s="44"/>
      <c r="P46" s="42">
        <v>-0.814</v>
      </c>
      <c r="Q46" s="44"/>
      <c r="R46" s="42">
        <v>0.010999999999999899</v>
      </c>
      <c r="S46" s="42">
        <v>0.272</v>
      </c>
      <c r="T46" s="42">
        <v>0.018</v>
      </c>
      <c r="U46" s="42">
        <v>0.008</v>
      </c>
      <c r="V46" s="42">
        <v>0.051</v>
      </c>
      <c r="W46" s="47">
        <v>0.8028</v>
      </c>
      <c r="X46" s="42">
        <v>-0.20400000000000007</v>
      </c>
      <c r="Y46" s="48" t="s">
        <v>193</v>
      </c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5">
        <v>2.0</v>
      </c>
      <c r="AN46" s="37" t="s">
        <v>214</v>
      </c>
      <c r="AO46" s="38">
        <v>3.0</v>
      </c>
      <c r="AP46" s="39">
        <v>6.0</v>
      </c>
      <c r="AQ46" s="39">
        <v>72.31</v>
      </c>
      <c r="AR46" s="39">
        <v>40.0</v>
      </c>
      <c r="AS46" s="39">
        <v>14.57</v>
      </c>
      <c r="AT46" s="39">
        <v>1.0</v>
      </c>
      <c r="AU46" s="41">
        <v>23.3</v>
      </c>
      <c r="AV46" s="38" t="s">
        <v>213</v>
      </c>
      <c r="AW46" s="39">
        <v>0.06</v>
      </c>
      <c r="AX46" s="35">
        <v>0.0</v>
      </c>
      <c r="AY46" s="42">
        <v>0.8028</v>
      </c>
      <c r="AZ46" s="42">
        <v>-0.20400000000000007</v>
      </c>
      <c r="BA46" s="48" t="s">
        <v>193</v>
      </c>
      <c r="BB46" s="39">
        <v>90.83</v>
      </c>
      <c r="BC46" s="39">
        <v>35.26</v>
      </c>
      <c r="BD46" s="50">
        <v>1.0909</v>
      </c>
      <c r="BE46" s="39">
        <v>56.25</v>
      </c>
      <c r="BF46" s="39">
        <v>-88.17</v>
      </c>
      <c r="BG46" s="39">
        <v>-21.34</v>
      </c>
      <c r="BH46" s="39">
        <v>-22.45</v>
      </c>
      <c r="BI46" s="39">
        <v>-21.63</v>
      </c>
      <c r="BJ46" s="39">
        <v>-22.75</v>
      </c>
      <c r="BK46" s="39">
        <v>14.83</v>
      </c>
      <c r="BL46" s="39">
        <v>1.55</v>
      </c>
      <c r="BM46" s="39">
        <v>0.67</v>
      </c>
      <c r="BN46" s="41">
        <v>4.39</v>
      </c>
      <c r="BO46" s="39">
        <f t="shared" si="5"/>
        <v>-0.01757967563</v>
      </c>
      <c r="BP46" s="39">
        <f t="shared" si="6"/>
        <v>0.01191111111</v>
      </c>
      <c r="BQ46" s="39">
        <f t="shared" si="7"/>
        <v>0.2960215779</v>
      </c>
    </row>
    <row r="47" ht="15.0" customHeight="1">
      <c r="A47" s="35">
        <v>2.0</v>
      </c>
      <c r="B47" s="36" t="s">
        <v>214</v>
      </c>
      <c r="C47" s="37"/>
      <c r="D47" s="38">
        <v>4.0</v>
      </c>
      <c r="E47" s="39">
        <v>8.0</v>
      </c>
      <c r="F47" s="39">
        <v>23.3</v>
      </c>
      <c r="G47" s="39">
        <f t="shared" si="8"/>
        <v>10.41573536</v>
      </c>
      <c r="H47" s="39">
        <v>1.0</v>
      </c>
      <c r="I47" s="41">
        <v>0.06</v>
      </c>
      <c r="J47" s="42">
        <v>1.026</v>
      </c>
      <c r="K47" s="44"/>
      <c r="L47" s="42">
        <v>-1.559</v>
      </c>
      <c r="M47" s="44"/>
      <c r="N47" s="42">
        <v>-0.772</v>
      </c>
      <c r="O47" s="44"/>
      <c r="P47" s="42">
        <v>-0.781</v>
      </c>
      <c r="Q47" s="44"/>
      <c r="R47" s="42">
        <v>0.009000000000000008</v>
      </c>
      <c r="S47" s="42">
        <v>0.365</v>
      </c>
      <c r="T47" s="42">
        <v>0.014</v>
      </c>
      <c r="U47" s="42">
        <v>0.023</v>
      </c>
      <c r="V47" s="42">
        <v>0.079</v>
      </c>
      <c r="W47" s="47">
        <v>0.797</v>
      </c>
      <c r="X47" s="42">
        <v>-0.20800000000000007</v>
      </c>
      <c r="Y47" s="48" t="s">
        <v>193</v>
      </c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5">
        <v>2.0</v>
      </c>
      <c r="AN47" s="37" t="s">
        <v>214</v>
      </c>
      <c r="AO47" s="38">
        <v>4.0</v>
      </c>
      <c r="AP47" s="39">
        <v>8.0</v>
      </c>
      <c r="AQ47" s="39">
        <v>72.43</v>
      </c>
      <c r="AR47" s="39">
        <v>40.0</v>
      </c>
      <c r="AS47" s="39">
        <v>14.46</v>
      </c>
      <c r="AT47" s="39">
        <v>1.0</v>
      </c>
      <c r="AU47" s="41">
        <v>23.3</v>
      </c>
      <c r="AV47" s="38" t="s">
        <v>213</v>
      </c>
      <c r="AW47" s="39">
        <v>0.06</v>
      </c>
      <c r="AX47" s="35">
        <v>0.0</v>
      </c>
      <c r="AY47" s="42">
        <v>0.797</v>
      </c>
      <c r="AZ47" s="42">
        <v>-0.20800000000000007</v>
      </c>
      <c r="BA47" s="48" t="s">
        <v>193</v>
      </c>
      <c r="BB47" s="39">
        <v>85.5</v>
      </c>
      <c r="BC47" s="39">
        <v>35.27</v>
      </c>
      <c r="BD47" s="50">
        <v>1.0909</v>
      </c>
      <c r="BE47" s="39">
        <v>55.51</v>
      </c>
      <c r="BF47" s="39">
        <v>-84.35</v>
      </c>
      <c r="BG47" s="39">
        <v>-20.11</v>
      </c>
      <c r="BH47" s="39">
        <v>-21.84</v>
      </c>
      <c r="BI47" s="39">
        <v>-20.34</v>
      </c>
      <c r="BJ47" s="39">
        <v>-22.06</v>
      </c>
      <c r="BK47" s="39">
        <v>19.74</v>
      </c>
      <c r="BL47" s="39">
        <v>1.16</v>
      </c>
      <c r="BM47" s="39">
        <v>1.93</v>
      </c>
      <c r="BN47" s="41">
        <v>6.79</v>
      </c>
      <c r="BO47" s="39">
        <f t="shared" si="5"/>
        <v>-0.01375222288</v>
      </c>
      <c r="BP47" s="39">
        <f t="shared" si="6"/>
        <v>0.03476851018</v>
      </c>
      <c r="BQ47" s="39">
        <f t="shared" si="7"/>
        <v>0.3439716312</v>
      </c>
    </row>
    <row r="48" ht="15.0" customHeight="1">
      <c r="A48" s="35">
        <v>2.0</v>
      </c>
      <c r="B48" s="36" t="s">
        <v>214</v>
      </c>
      <c r="C48" s="37"/>
      <c r="D48" s="38">
        <v>5.0</v>
      </c>
      <c r="E48" s="39">
        <v>-2.0</v>
      </c>
      <c r="F48" s="39">
        <v>23.4</v>
      </c>
      <c r="G48" s="39">
        <f t="shared" si="8"/>
        <v>10.46043809</v>
      </c>
      <c r="H48" s="39">
        <v>1.0</v>
      </c>
      <c r="I48" s="41">
        <v>0.05</v>
      </c>
      <c r="J48" s="42">
        <v>1.021</v>
      </c>
      <c r="K48" s="44"/>
      <c r="L48" s="42">
        <v>-1.639</v>
      </c>
      <c r="M48" s="44"/>
      <c r="N48" s="42">
        <v>-0.808</v>
      </c>
      <c r="O48" s="44"/>
      <c r="P48" s="42">
        <v>-0.833</v>
      </c>
      <c r="Q48" s="44"/>
      <c r="R48" s="42">
        <v>0.02499999999999991</v>
      </c>
      <c r="S48" s="42">
        <v>-0.095</v>
      </c>
      <c r="T48" s="42">
        <v>0.039</v>
      </c>
      <c r="U48" s="42">
        <v>-0.008</v>
      </c>
      <c r="V48" s="42">
        <v>-0.008</v>
      </c>
      <c r="W48" s="47">
        <v>0.8016</v>
      </c>
      <c r="X48" s="42">
        <v>-0.20199999999999996</v>
      </c>
      <c r="Y48" s="48" t="s">
        <v>193</v>
      </c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5">
        <v>2.0</v>
      </c>
      <c r="AN48" s="37" t="s">
        <v>214</v>
      </c>
      <c r="AO48" s="38">
        <v>5.0</v>
      </c>
      <c r="AP48" s="39">
        <v>-2.0</v>
      </c>
      <c r="AQ48" s="39">
        <v>72.29</v>
      </c>
      <c r="AR48" s="39">
        <v>40.0</v>
      </c>
      <c r="AS48" s="39">
        <v>14.41</v>
      </c>
      <c r="AT48" s="39">
        <v>1.0</v>
      </c>
      <c r="AU48" s="41">
        <v>23.4</v>
      </c>
      <c r="AV48" s="38" t="s">
        <v>213</v>
      </c>
      <c r="AW48" s="39">
        <v>0.05</v>
      </c>
      <c r="AX48" s="35">
        <v>0.0</v>
      </c>
      <c r="AY48" s="42">
        <v>0.8016</v>
      </c>
      <c r="AZ48" s="42">
        <v>-0.20199999999999996</v>
      </c>
      <c r="BA48" s="48" t="s">
        <v>193</v>
      </c>
      <c r="BB48" s="39">
        <v>86.5</v>
      </c>
      <c r="BC48" s="39">
        <v>35.31</v>
      </c>
      <c r="BD48" s="50">
        <v>1.0909</v>
      </c>
      <c r="BE48" s="39">
        <v>55.8</v>
      </c>
      <c r="BF48" s="39">
        <v>-89.54</v>
      </c>
      <c r="BG48" s="39">
        <v>-22.14</v>
      </c>
      <c r="BH48" s="39">
        <v>-21.97</v>
      </c>
      <c r="BI48" s="39">
        <v>-22.79</v>
      </c>
      <c r="BJ48" s="39">
        <v>-22.63</v>
      </c>
      <c r="BK48" s="39">
        <v>-5.17</v>
      </c>
      <c r="BL48" s="39">
        <v>3.39</v>
      </c>
      <c r="BM48" s="39">
        <v>-0.69</v>
      </c>
      <c r="BN48" s="41">
        <v>-0.67</v>
      </c>
      <c r="BO48" s="39">
        <f t="shared" si="5"/>
        <v>-0.03786017422</v>
      </c>
      <c r="BP48" s="39">
        <f t="shared" si="6"/>
        <v>-0.0123655914</v>
      </c>
      <c r="BQ48" s="39">
        <f t="shared" si="7"/>
        <v>0.1295938104</v>
      </c>
    </row>
    <row r="49" ht="15.0" customHeight="1">
      <c r="A49" s="35">
        <v>2.0</v>
      </c>
      <c r="B49" s="36" t="s">
        <v>214</v>
      </c>
      <c r="C49" s="37"/>
      <c r="D49" s="38">
        <v>6.0</v>
      </c>
      <c r="E49" s="39">
        <v>-4.0</v>
      </c>
      <c r="F49" s="39">
        <v>23.3</v>
      </c>
      <c r="G49" s="39">
        <f t="shared" si="8"/>
        <v>10.41573536</v>
      </c>
      <c r="H49" s="39">
        <v>1.0</v>
      </c>
      <c r="I49" s="41">
        <v>0.05</v>
      </c>
      <c r="J49" s="42">
        <v>1.029</v>
      </c>
      <c r="K49" s="44"/>
      <c r="L49" s="42">
        <v>-1.619</v>
      </c>
      <c r="M49" s="44"/>
      <c r="N49" s="42">
        <v>-0.796</v>
      </c>
      <c r="O49" s="44"/>
      <c r="P49" s="42">
        <v>-0.821</v>
      </c>
      <c r="Q49" s="44"/>
      <c r="R49" s="42">
        <v>0.02499999999999991</v>
      </c>
      <c r="S49" s="42">
        <v>-0.186</v>
      </c>
      <c r="T49" s="42">
        <v>0.042</v>
      </c>
      <c r="U49" s="42">
        <v>-0.017</v>
      </c>
      <c r="V49" s="42">
        <v>-0.024</v>
      </c>
      <c r="W49" s="47">
        <v>0.8071</v>
      </c>
      <c r="X49" s="42">
        <v>-0.19799999999999995</v>
      </c>
      <c r="Y49" s="48" t="s">
        <v>193</v>
      </c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5">
        <v>2.0</v>
      </c>
      <c r="AN49" s="37" t="s">
        <v>214</v>
      </c>
      <c r="AO49" s="38">
        <v>6.0</v>
      </c>
      <c r="AP49" s="39">
        <v>-4.0</v>
      </c>
      <c r="AQ49" s="39">
        <v>72.44</v>
      </c>
      <c r="AR49" s="39">
        <v>40.0</v>
      </c>
      <c r="AS49" s="39">
        <v>14.34</v>
      </c>
      <c r="AT49" s="39">
        <v>1.0</v>
      </c>
      <c r="AU49" s="41">
        <v>23.3</v>
      </c>
      <c r="AV49" s="38" t="s">
        <v>213</v>
      </c>
      <c r="AW49" s="39">
        <v>0.05</v>
      </c>
      <c r="AX49" s="35">
        <v>0.0</v>
      </c>
      <c r="AY49" s="42">
        <v>0.8071</v>
      </c>
      <c r="AZ49" s="42">
        <v>-0.19799999999999995</v>
      </c>
      <c r="BA49" s="48" t="s">
        <v>193</v>
      </c>
      <c r="BB49" s="39">
        <v>87.83</v>
      </c>
      <c r="BC49" s="39">
        <v>35.36</v>
      </c>
      <c r="BD49" s="50">
        <v>1.0909</v>
      </c>
      <c r="BE49" s="39">
        <v>56.48</v>
      </c>
      <c r="BF49" s="39">
        <v>-88.81</v>
      </c>
      <c r="BG49" s="39">
        <v>-22.11</v>
      </c>
      <c r="BH49" s="39">
        <v>-21.59</v>
      </c>
      <c r="BI49" s="39">
        <v>-22.82</v>
      </c>
      <c r="BJ49" s="39">
        <v>-22.3</v>
      </c>
      <c r="BK49" s="39">
        <v>-10.19</v>
      </c>
      <c r="BL49" s="39">
        <v>3.68</v>
      </c>
      <c r="BM49" s="39">
        <v>-1.47</v>
      </c>
      <c r="BN49" s="41">
        <v>-2.05</v>
      </c>
      <c r="BO49" s="39">
        <f t="shared" si="5"/>
        <v>-0.04143677514</v>
      </c>
      <c r="BP49" s="39">
        <f t="shared" si="6"/>
        <v>-0.02602691218</v>
      </c>
      <c r="BQ49" s="39">
        <f t="shared" si="7"/>
        <v>0.2011776251</v>
      </c>
    </row>
    <row r="50" ht="15.0" customHeight="1">
      <c r="A50" s="35">
        <v>2.0</v>
      </c>
      <c r="B50" s="36" t="s">
        <v>214</v>
      </c>
      <c r="C50" s="37"/>
      <c r="D50" s="38">
        <v>7.0</v>
      </c>
      <c r="E50" s="39">
        <v>-6.0</v>
      </c>
      <c r="F50" s="39">
        <v>23.3</v>
      </c>
      <c r="G50" s="39">
        <f t="shared" si="8"/>
        <v>10.41573536</v>
      </c>
      <c r="H50" s="39">
        <v>1.1</v>
      </c>
      <c r="I50" s="41">
        <v>0.05</v>
      </c>
      <c r="J50" s="42">
        <v>1.023</v>
      </c>
      <c r="K50" s="44"/>
      <c r="L50" s="42">
        <v>-1.612</v>
      </c>
      <c r="M50" s="44"/>
      <c r="N50" s="42">
        <v>-0.795</v>
      </c>
      <c r="O50" s="44"/>
      <c r="P50" s="42">
        <v>-0.823</v>
      </c>
      <c r="Q50" s="44"/>
      <c r="R50" s="42">
        <v>0.027999999999999914</v>
      </c>
      <c r="S50" s="42">
        <v>-0.283</v>
      </c>
      <c r="T50" s="42">
        <v>0.046</v>
      </c>
      <c r="U50" s="42">
        <v>-0.018</v>
      </c>
      <c r="V50" s="42">
        <v>-0.05</v>
      </c>
      <c r="W50" s="47">
        <v>0.8061</v>
      </c>
      <c r="X50" s="42">
        <v>-0.19899999999999995</v>
      </c>
      <c r="Y50" s="48" t="s">
        <v>193</v>
      </c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5">
        <v>2.0</v>
      </c>
      <c r="AN50" s="37" t="s">
        <v>214</v>
      </c>
      <c r="AO50" s="38">
        <v>7.0</v>
      </c>
      <c r="AP50" s="39">
        <v>-6.0</v>
      </c>
      <c r="AQ50" s="39">
        <v>72.31</v>
      </c>
      <c r="AR50" s="39">
        <v>40.0</v>
      </c>
      <c r="AS50" s="39">
        <v>14.37</v>
      </c>
      <c r="AT50" s="39">
        <v>1.1</v>
      </c>
      <c r="AU50" s="41">
        <v>23.3</v>
      </c>
      <c r="AV50" s="38" t="s">
        <v>213</v>
      </c>
      <c r="AW50" s="39">
        <v>0.05</v>
      </c>
      <c r="AX50" s="35">
        <v>0.0</v>
      </c>
      <c r="AY50" s="42">
        <v>0.8061</v>
      </c>
      <c r="AZ50" s="42">
        <v>-0.19899999999999995</v>
      </c>
      <c r="BA50" s="48" t="s">
        <v>193</v>
      </c>
      <c r="BB50" s="39">
        <v>88.67</v>
      </c>
      <c r="BC50" s="39">
        <v>35.4</v>
      </c>
      <c r="BD50" s="50">
        <v>1.0909</v>
      </c>
      <c r="BE50" s="39">
        <v>56.29</v>
      </c>
      <c r="BF50" s="39">
        <v>-88.72</v>
      </c>
      <c r="BG50" s="39">
        <v>-22.35</v>
      </c>
      <c r="BH50" s="39">
        <v>-21.24</v>
      </c>
      <c r="BI50" s="39">
        <v>-23.12</v>
      </c>
      <c r="BJ50" s="39">
        <v>-22.01</v>
      </c>
      <c r="BK50" s="39">
        <v>-15.56</v>
      </c>
      <c r="BL50" s="39">
        <v>4.01</v>
      </c>
      <c r="BM50" s="39">
        <v>-1.58</v>
      </c>
      <c r="BN50" s="41">
        <v>-4.37</v>
      </c>
      <c r="BO50" s="39">
        <f t="shared" si="5"/>
        <v>-0.04519837692</v>
      </c>
      <c r="BP50" s="39">
        <f t="shared" si="6"/>
        <v>-0.02806892876</v>
      </c>
      <c r="BQ50" s="39">
        <f t="shared" si="7"/>
        <v>0.280848329</v>
      </c>
    </row>
    <row r="51" ht="15.0" customHeight="1">
      <c r="A51" s="35">
        <v>2.0</v>
      </c>
      <c r="B51" s="36" t="s">
        <v>214</v>
      </c>
      <c r="C51" s="37"/>
      <c r="D51" s="38">
        <v>8.0</v>
      </c>
      <c r="E51" s="39">
        <v>-8.0</v>
      </c>
      <c r="F51" s="39">
        <v>23.4</v>
      </c>
      <c r="G51" s="39">
        <f t="shared" si="8"/>
        <v>10.46043809</v>
      </c>
      <c r="H51" s="39">
        <v>1.0</v>
      </c>
      <c r="I51" s="41">
        <v>0.05</v>
      </c>
      <c r="J51" s="42">
        <v>1.014</v>
      </c>
      <c r="K51" s="44"/>
      <c r="L51" s="42">
        <v>-1.557</v>
      </c>
      <c r="M51" s="44"/>
      <c r="N51" s="42">
        <v>-0.774</v>
      </c>
      <c r="O51" s="44"/>
      <c r="P51" s="42">
        <v>-0.792</v>
      </c>
      <c r="Q51" s="44"/>
      <c r="R51" s="42">
        <v>0.018000000000000016</v>
      </c>
      <c r="S51" s="42">
        <v>-0.376</v>
      </c>
      <c r="T51" s="42">
        <v>0.027</v>
      </c>
      <c r="U51" s="42">
        <v>-0.039</v>
      </c>
      <c r="V51" s="42">
        <v>-0.064</v>
      </c>
      <c r="W51" s="47">
        <v>0.8043</v>
      </c>
      <c r="X51" s="42">
        <v>-0.19800000000000006</v>
      </c>
      <c r="Y51" s="48" t="s">
        <v>193</v>
      </c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5">
        <v>2.0</v>
      </c>
      <c r="AN51" s="37" t="s">
        <v>214</v>
      </c>
      <c r="AO51" s="38">
        <v>8.0</v>
      </c>
      <c r="AP51" s="39">
        <v>-8.0</v>
      </c>
      <c r="AQ51" s="39">
        <v>72.13</v>
      </c>
      <c r="AR51" s="39">
        <v>40.0</v>
      </c>
      <c r="AS51" s="39">
        <v>14.36</v>
      </c>
      <c r="AT51" s="39">
        <v>1.0</v>
      </c>
      <c r="AU51" s="41">
        <v>23.4</v>
      </c>
      <c r="AV51" s="38" t="s">
        <v>213</v>
      </c>
      <c r="AW51" s="39">
        <v>0.05</v>
      </c>
      <c r="AX51" s="35">
        <v>0.0</v>
      </c>
      <c r="AY51" s="42">
        <v>0.8043</v>
      </c>
      <c r="AZ51" s="42">
        <v>-0.19800000000000006</v>
      </c>
      <c r="BA51" s="48" t="s">
        <v>193</v>
      </c>
      <c r="BB51" s="39">
        <v>84.83</v>
      </c>
      <c r="BC51" s="39">
        <v>35.4</v>
      </c>
      <c r="BD51" s="50">
        <v>1.0909</v>
      </c>
      <c r="BE51" s="39">
        <v>55.59</v>
      </c>
      <c r="BF51" s="39">
        <v>-85.34</v>
      </c>
      <c r="BG51" s="39">
        <v>-21.81</v>
      </c>
      <c r="BH51" s="39">
        <v>-20.41</v>
      </c>
      <c r="BI51" s="39">
        <v>-22.26</v>
      </c>
      <c r="BJ51" s="39">
        <v>-20.86</v>
      </c>
      <c r="BK51" s="39">
        <v>-20.61</v>
      </c>
      <c r="BL51" s="39">
        <v>2.36</v>
      </c>
      <c r="BM51" s="39">
        <v>-3.37</v>
      </c>
      <c r="BN51" s="41">
        <v>-5.52</v>
      </c>
      <c r="BO51" s="39">
        <f t="shared" si="5"/>
        <v>-0.02765408952</v>
      </c>
      <c r="BP51" s="39">
        <f t="shared" si="6"/>
        <v>-0.0606224141</v>
      </c>
      <c r="BQ51" s="39">
        <f t="shared" si="7"/>
        <v>0.2678311499</v>
      </c>
    </row>
    <row r="52" ht="15.0" customHeight="1">
      <c r="A52" s="51"/>
      <c r="B52" s="37"/>
      <c r="C52" s="37"/>
      <c r="D52" s="37"/>
      <c r="E52" s="37"/>
      <c r="F52" s="37"/>
      <c r="G52" s="40"/>
      <c r="H52" s="37"/>
      <c r="I52" s="52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51"/>
      <c r="X52" s="37"/>
      <c r="Y52" s="52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51"/>
      <c r="AN52" s="37"/>
      <c r="AO52" s="37"/>
      <c r="AP52" s="37"/>
      <c r="AQ52" s="37"/>
      <c r="AR52" s="37"/>
      <c r="AS52" s="37"/>
      <c r="AT52" s="37"/>
      <c r="AU52" s="52"/>
      <c r="AV52" s="37"/>
      <c r="AW52" s="37"/>
      <c r="AX52" s="51"/>
      <c r="AY52" s="37"/>
      <c r="AZ52" s="37"/>
      <c r="BA52" s="52"/>
      <c r="BB52" s="37"/>
      <c r="BC52" s="37"/>
      <c r="BD52" s="51"/>
      <c r="BE52" s="37"/>
      <c r="BF52" s="37"/>
      <c r="BG52" s="37"/>
      <c r="BH52" s="37"/>
      <c r="BI52" s="37"/>
      <c r="BJ52" s="37"/>
      <c r="BK52" s="37"/>
      <c r="BL52" s="37"/>
      <c r="BM52" s="37"/>
      <c r="BN52" s="52"/>
      <c r="BO52" s="39" t="str">
        <f t="shared" si="5"/>
        <v>#DIV/0!</v>
      </c>
      <c r="BP52" s="39" t="str">
        <f t="shared" si="6"/>
        <v>#DIV/0!</v>
      </c>
      <c r="BQ52" s="39" t="str">
        <f t="shared" si="7"/>
        <v>#DIV/0!</v>
      </c>
    </row>
    <row r="53" ht="15.0" customHeight="1">
      <c r="A53" s="35">
        <v>3.0</v>
      </c>
      <c r="B53" s="36" t="s">
        <v>215</v>
      </c>
      <c r="C53" s="37"/>
      <c r="D53" s="38">
        <v>1.0</v>
      </c>
      <c r="E53" s="39">
        <v>-8.0</v>
      </c>
      <c r="F53" s="39">
        <v>34.8</v>
      </c>
      <c r="G53" s="39">
        <f t="shared" ref="G53:G60" si="9">F53/2.237
</f>
        <v>15.55654895</v>
      </c>
      <c r="H53" s="39">
        <v>2.7</v>
      </c>
      <c r="I53" s="41">
        <v>0.14</v>
      </c>
      <c r="J53" s="42">
        <v>1.031</v>
      </c>
      <c r="K53" s="44"/>
      <c r="L53" s="42">
        <v>-1.667</v>
      </c>
      <c r="M53" s="44"/>
      <c r="N53" s="42">
        <v>-0.828</v>
      </c>
      <c r="O53" s="44"/>
      <c r="P53" s="42">
        <v>-0.836</v>
      </c>
      <c r="Q53" s="44"/>
      <c r="R53" s="42">
        <v>0.008000000000000007</v>
      </c>
      <c r="S53" s="42">
        <v>-0.391</v>
      </c>
      <c r="T53" s="42">
        <v>0.014</v>
      </c>
      <c r="U53" s="42">
        <v>-0.046</v>
      </c>
      <c r="V53" s="42">
        <v>-0.091</v>
      </c>
      <c r="W53" s="47">
        <v>0.914</v>
      </c>
      <c r="X53" s="42">
        <v>-0.08899999999999997</v>
      </c>
      <c r="Y53" s="48" t="s">
        <v>193</v>
      </c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5">
        <v>3.0</v>
      </c>
      <c r="AN53" s="37" t="s">
        <v>215</v>
      </c>
      <c r="AO53" s="38">
        <v>1.0</v>
      </c>
      <c r="AP53" s="39">
        <v>-8.0</v>
      </c>
      <c r="AQ53" s="39">
        <v>71.92</v>
      </c>
      <c r="AR53" s="39">
        <v>40.0</v>
      </c>
      <c r="AS53" s="39">
        <v>14.49</v>
      </c>
      <c r="AT53" s="39">
        <v>2.7</v>
      </c>
      <c r="AU53" s="41">
        <v>34.8</v>
      </c>
      <c r="AV53" s="38" t="s">
        <v>213</v>
      </c>
      <c r="AW53" s="39">
        <v>0.14</v>
      </c>
      <c r="AX53" s="35">
        <v>0.0</v>
      </c>
      <c r="AY53" s="42">
        <v>0.914</v>
      </c>
      <c r="AZ53" s="42">
        <v>-0.08899999999999997</v>
      </c>
      <c r="BA53" s="48" t="s">
        <v>193</v>
      </c>
      <c r="BB53" s="39">
        <v>197.83</v>
      </c>
      <c r="BC53" s="39">
        <v>55.46</v>
      </c>
      <c r="BD53" s="50">
        <v>1.0909</v>
      </c>
      <c r="BE53" s="39">
        <v>143.27</v>
      </c>
      <c r="BF53" s="39">
        <v>-231.71</v>
      </c>
      <c r="BG53" s="39">
        <v>-60.15</v>
      </c>
      <c r="BH53" s="39">
        <v>-55.1</v>
      </c>
      <c r="BI53" s="39">
        <v>-60.75</v>
      </c>
      <c r="BJ53" s="39">
        <v>-55.7</v>
      </c>
      <c r="BK53" s="39">
        <v>-54.31</v>
      </c>
      <c r="BL53" s="39">
        <v>3.14</v>
      </c>
      <c r="BM53" s="39">
        <v>-10.2</v>
      </c>
      <c r="BN53" s="41">
        <v>-19.89</v>
      </c>
      <c r="BO53" s="39">
        <f t="shared" si="5"/>
        <v>-0.01355142204</v>
      </c>
      <c r="BP53" s="39">
        <f t="shared" si="6"/>
        <v>-0.07119424862</v>
      </c>
      <c r="BQ53" s="39">
        <f t="shared" si="7"/>
        <v>0.3662308967</v>
      </c>
    </row>
    <row r="54" ht="15.0" customHeight="1">
      <c r="A54" s="35">
        <v>3.0</v>
      </c>
      <c r="B54" s="36" t="s">
        <v>215</v>
      </c>
      <c r="C54" s="37"/>
      <c r="D54" s="38">
        <v>2.0</v>
      </c>
      <c r="E54" s="39">
        <v>-6.0</v>
      </c>
      <c r="F54" s="39">
        <v>34.8</v>
      </c>
      <c r="G54" s="39">
        <f t="shared" si="9"/>
        <v>15.55654895</v>
      </c>
      <c r="H54" s="39">
        <v>2.7</v>
      </c>
      <c r="I54" s="41">
        <v>0.14</v>
      </c>
      <c r="J54" s="42">
        <v>1.05</v>
      </c>
      <c r="K54" s="44"/>
      <c r="L54" s="42">
        <v>-1.726</v>
      </c>
      <c r="M54" s="44"/>
      <c r="N54" s="42">
        <v>-0.856</v>
      </c>
      <c r="O54" s="44"/>
      <c r="P54" s="42">
        <v>-0.869</v>
      </c>
      <c r="Q54" s="44"/>
      <c r="R54" s="42">
        <v>0.013000000000000012</v>
      </c>
      <c r="S54" s="42">
        <v>-0.297</v>
      </c>
      <c r="T54" s="42">
        <v>0.021</v>
      </c>
      <c r="U54" s="42">
        <v>-0.035</v>
      </c>
      <c r="V54" s="42">
        <v>-0.073</v>
      </c>
      <c r="W54" s="47">
        <v>0.9129</v>
      </c>
      <c r="X54" s="42">
        <v>-0.09100000000000008</v>
      </c>
      <c r="Y54" s="48" t="s">
        <v>193</v>
      </c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5">
        <v>3.0</v>
      </c>
      <c r="AN54" s="37" t="s">
        <v>215</v>
      </c>
      <c r="AO54" s="38">
        <v>2.0</v>
      </c>
      <c r="AP54" s="39">
        <v>-6.0</v>
      </c>
      <c r="AQ54" s="39">
        <v>71.89</v>
      </c>
      <c r="AR54" s="39">
        <v>40.0</v>
      </c>
      <c r="AS54" s="39">
        <v>14.56</v>
      </c>
      <c r="AT54" s="39">
        <v>2.7</v>
      </c>
      <c r="AU54" s="41">
        <v>34.8</v>
      </c>
      <c r="AV54" s="38" t="s">
        <v>213</v>
      </c>
      <c r="AW54" s="39">
        <v>0.14</v>
      </c>
      <c r="AX54" s="35">
        <v>0.0</v>
      </c>
      <c r="AY54" s="42">
        <v>0.9129</v>
      </c>
      <c r="AZ54" s="42">
        <v>-0.09100000000000008</v>
      </c>
      <c r="BA54" s="48" t="s">
        <v>193</v>
      </c>
      <c r="BB54" s="39">
        <v>197.5</v>
      </c>
      <c r="BC54" s="39">
        <v>55.42</v>
      </c>
      <c r="BD54" s="50">
        <v>1.0909</v>
      </c>
      <c r="BE54" s="39">
        <v>145.69</v>
      </c>
      <c r="BF54" s="39">
        <v>-239.39</v>
      </c>
      <c r="BG54" s="39">
        <v>-61.42</v>
      </c>
      <c r="BH54" s="39">
        <v>-57.37</v>
      </c>
      <c r="BI54" s="39">
        <v>-62.32</v>
      </c>
      <c r="BJ54" s="39">
        <v>-58.27</v>
      </c>
      <c r="BK54" s="39">
        <v>-41.14</v>
      </c>
      <c r="BL54" s="39">
        <v>4.68</v>
      </c>
      <c r="BM54" s="39">
        <v>-7.63</v>
      </c>
      <c r="BN54" s="41">
        <v>-15.95</v>
      </c>
      <c r="BO54" s="39">
        <f t="shared" si="5"/>
        <v>-0.01954968879</v>
      </c>
      <c r="BP54" s="39">
        <f t="shared" si="6"/>
        <v>-0.05237147368</v>
      </c>
      <c r="BQ54" s="39">
        <f t="shared" si="7"/>
        <v>0.3877005348</v>
      </c>
    </row>
    <row r="55" ht="15.0" customHeight="1">
      <c r="A55" s="35">
        <v>3.0</v>
      </c>
      <c r="B55" s="36" t="s">
        <v>215</v>
      </c>
      <c r="C55" s="37"/>
      <c r="D55" s="38">
        <v>3.0</v>
      </c>
      <c r="E55" s="39">
        <v>-4.0</v>
      </c>
      <c r="F55" s="39">
        <v>34.9</v>
      </c>
      <c r="G55" s="39">
        <f t="shared" si="9"/>
        <v>15.60125168</v>
      </c>
      <c r="H55" s="39">
        <v>2.6</v>
      </c>
      <c r="I55" s="41">
        <v>0.14</v>
      </c>
      <c r="J55" s="42">
        <v>1.061</v>
      </c>
      <c r="K55" s="44"/>
      <c r="L55" s="42">
        <v>-1.754</v>
      </c>
      <c r="M55" s="44"/>
      <c r="N55" s="42">
        <v>-0.868</v>
      </c>
      <c r="O55" s="44"/>
      <c r="P55" s="42">
        <v>-0.887</v>
      </c>
      <c r="Q55" s="44"/>
      <c r="R55" s="42">
        <v>0.019000000000000017</v>
      </c>
      <c r="S55" s="42">
        <v>-0.191</v>
      </c>
      <c r="T55" s="42">
        <v>0.031</v>
      </c>
      <c r="U55" s="42">
        <v>-0.023</v>
      </c>
      <c r="V55" s="42">
        <v>-0.046</v>
      </c>
      <c r="W55" s="47">
        <v>0.9132</v>
      </c>
      <c r="X55" s="42">
        <v>-0.09199999999999997</v>
      </c>
      <c r="Y55" s="48" t="s">
        <v>193</v>
      </c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5">
        <v>3.0</v>
      </c>
      <c r="AN55" s="37" t="s">
        <v>215</v>
      </c>
      <c r="AO55" s="38">
        <v>3.0</v>
      </c>
      <c r="AP55" s="39">
        <v>-4.0</v>
      </c>
      <c r="AQ55" s="39">
        <v>71.75</v>
      </c>
      <c r="AR55" s="39">
        <v>40.0</v>
      </c>
      <c r="AS55" s="39">
        <v>14.58</v>
      </c>
      <c r="AT55" s="39">
        <v>2.6</v>
      </c>
      <c r="AU55" s="41">
        <v>34.9</v>
      </c>
      <c r="AV55" s="38" t="s">
        <v>213</v>
      </c>
      <c r="AW55" s="39">
        <v>0.14</v>
      </c>
      <c r="AX55" s="35">
        <v>0.0</v>
      </c>
      <c r="AY55" s="42">
        <v>0.9132</v>
      </c>
      <c r="AZ55" s="42">
        <v>-0.09199999999999997</v>
      </c>
      <c r="BA55" s="48" t="s">
        <v>193</v>
      </c>
      <c r="BB55" s="39">
        <v>197.67</v>
      </c>
      <c r="BC55" s="39">
        <v>55.41</v>
      </c>
      <c r="BD55" s="50">
        <v>1.0909</v>
      </c>
      <c r="BE55" s="39">
        <v>147.44</v>
      </c>
      <c r="BF55" s="39">
        <v>-243.71</v>
      </c>
      <c r="BG55" s="39">
        <v>-61.57</v>
      </c>
      <c r="BH55" s="39">
        <v>-58.99</v>
      </c>
      <c r="BI55" s="39">
        <v>-62.86</v>
      </c>
      <c r="BJ55" s="39">
        <v>-60.29</v>
      </c>
      <c r="BK55" s="39">
        <v>-26.53</v>
      </c>
      <c r="BL55" s="39">
        <v>6.74</v>
      </c>
      <c r="BM55" s="39">
        <v>-5.13</v>
      </c>
      <c r="BN55" s="41">
        <v>-10.13</v>
      </c>
      <c r="BO55" s="39">
        <f t="shared" si="5"/>
        <v>-0.02765582044</v>
      </c>
      <c r="BP55" s="39">
        <f t="shared" si="6"/>
        <v>-0.03479381443</v>
      </c>
      <c r="BQ55" s="39">
        <f t="shared" si="7"/>
        <v>0.3818318884</v>
      </c>
    </row>
    <row r="56" ht="15.0" customHeight="1">
      <c r="A56" s="35">
        <v>3.0</v>
      </c>
      <c r="B56" s="36" t="s">
        <v>215</v>
      </c>
      <c r="C56" s="37"/>
      <c r="D56" s="38">
        <v>4.0</v>
      </c>
      <c r="E56" s="39">
        <v>-2.0</v>
      </c>
      <c r="F56" s="39">
        <v>34.9</v>
      </c>
      <c r="G56" s="39">
        <f t="shared" si="9"/>
        <v>15.60125168</v>
      </c>
      <c r="H56" s="39">
        <v>2.7</v>
      </c>
      <c r="I56" s="41">
        <v>0.14</v>
      </c>
      <c r="J56" s="42">
        <v>1.053</v>
      </c>
      <c r="K56" s="44"/>
      <c r="L56" s="42">
        <v>-1.756</v>
      </c>
      <c r="M56" s="44"/>
      <c r="N56" s="42">
        <v>-0.869</v>
      </c>
      <c r="O56" s="44"/>
      <c r="P56" s="42">
        <v>-0.884</v>
      </c>
      <c r="Q56" s="44"/>
      <c r="R56" s="42">
        <v>0.015000000000000013</v>
      </c>
      <c r="S56" s="42">
        <v>-0.099</v>
      </c>
      <c r="T56" s="42">
        <v>0.024</v>
      </c>
      <c r="U56" s="42">
        <v>-0.017</v>
      </c>
      <c r="V56" s="42">
        <v>-0.029</v>
      </c>
      <c r="W56" s="47">
        <v>0.9153</v>
      </c>
      <c r="X56" s="42">
        <v>-0.08899999999999997</v>
      </c>
      <c r="Y56" s="48" t="s">
        <v>193</v>
      </c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5">
        <v>3.0</v>
      </c>
      <c r="AN56" s="37" t="s">
        <v>215</v>
      </c>
      <c r="AO56" s="38">
        <v>4.0</v>
      </c>
      <c r="AP56" s="39">
        <v>-2.0</v>
      </c>
      <c r="AQ56" s="39">
        <v>71.75</v>
      </c>
      <c r="AR56" s="39">
        <v>40.0</v>
      </c>
      <c r="AS56" s="39">
        <v>14.59</v>
      </c>
      <c r="AT56" s="39">
        <v>2.7</v>
      </c>
      <c r="AU56" s="41">
        <v>34.9</v>
      </c>
      <c r="AV56" s="38" t="s">
        <v>213</v>
      </c>
      <c r="AW56" s="39">
        <v>0.14</v>
      </c>
      <c r="AX56" s="35">
        <v>0.0</v>
      </c>
      <c r="AY56" s="42">
        <v>0.9153</v>
      </c>
      <c r="AZ56" s="42">
        <v>-0.08899999999999997</v>
      </c>
      <c r="BA56" s="48" t="s">
        <v>193</v>
      </c>
      <c r="BB56" s="39">
        <v>201.83</v>
      </c>
      <c r="BC56" s="39">
        <v>55.37</v>
      </c>
      <c r="BD56" s="50">
        <v>1.0909</v>
      </c>
      <c r="BE56" s="39">
        <v>146.47</v>
      </c>
      <c r="BF56" s="39">
        <v>-244.22</v>
      </c>
      <c r="BG56" s="39">
        <v>-61.35</v>
      </c>
      <c r="BH56" s="39">
        <v>-59.75</v>
      </c>
      <c r="BI56" s="39">
        <v>-62.35</v>
      </c>
      <c r="BJ56" s="39">
        <v>-60.75</v>
      </c>
      <c r="BK56" s="39">
        <v>-13.73</v>
      </c>
      <c r="BL56" s="39">
        <v>5.2</v>
      </c>
      <c r="BM56" s="39">
        <v>-3.8</v>
      </c>
      <c r="BN56" s="41">
        <v>-6.3</v>
      </c>
      <c r="BO56" s="39">
        <f t="shared" si="5"/>
        <v>-0.02129227745</v>
      </c>
      <c r="BP56" s="39">
        <f t="shared" si="6"/>
        <v>-0.02594387929</v>
      </c>
      <c r="BQ56" s="39">
        <f t="shared" si="7"/>
        <v>0.4588492353</v>
      </c>
    </row>
    <row r="57" ht="15.0" customHeight="1">
      <c r="A57" s="35">
        <v>3.0</v>
      </c>
      <c r="B57" s="36" t="s">
        <v>215</v>
      </c>
      <c r="C57" s="37"/>
      <c r="D57" s="38">
        <v>5.0</v>
      </c>
      <c r="E57" s="39">
        <v>2.0</v>
      </c>
      <c r="F57" s="39">
        <v>34.9</v>
      </c>
      <c r="G57" s="39">
        <f t="shared" si="9"/>
        <v>15.60125168</v>
      </c>
      <c r="H57" s="39">
        <v>2.7</v>
      </c>
      <c r="I57" s="41">
        <v>0.14</v>
      </c>
      <c r="J57" s="42">
        <v>1.052</v>
      </c>
      <c r="K57" s="44"/>
      <c r="L57" s="42">
        <v>-1.741</v>
      </c>
      <c r="M57" s="44"/>
      <c r="N57" s="42">
        <v>-0.863</v>
      </c>
      <c r="O57" s="44"/>
      <c r="P57" s="42">
        <v>-0.874</v>
      </c>
      <c r="Q57" s="44"/>
      <c r="R57" s="42">
        <v>0.01100000000000001</v>
      </c>
      <c r="S57" s="42">
        <v>0.097</v>
      </c>
      <c r="T57" s="42">
        <v>0.019</v>
      </c>
      <c r="U57" s="42">
        <v>-0.008</v>
      </c>
      <c r="V57" s="42">
        <v>0.007</v>
      </c>
      <c r="W57" s="47">
        <v>0.9134</v>
      </c>
      <c r="X57" s="42">
        <v>-0.09100000000000008</v>
      </c>
      <c r="Y57" s="48" t="s">
        <v>193</v>
      </c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5">
        <v>3.0</v>
      </c>
      <c r="AN57" s="37" t="s">
        <v>215</v>
      </c>
      <c r="AO57" s="38">
        <v>5.0</v>
      </c>
      <c r="AP57" s="39">
        <v>2.0</v>
      </c>
      <c r="AQ57" s="39">
        <v>71.85</v>
      </c>
      <c r="AR57" s="39">
        <v>40.0</v>
      </c>
      <c r="AS57" s="39">
        <v>14.56</v>
      </c>
      <c r="AT57" s="39">
        <v>2.7</v>
      </c>
      <c r="AU57" s="41">
        <v>34.9</v>
      </c>
      <c r="AV57" s="38" t="s">
        <v>213</v>
      </c>
      <c r="AW57" s="39">
        <v>0.14</v>
      </c>
      <c r="AX57" s="35">
        <v>0.0</v>
      </c>
      <c r="AY57" s="42">
        <v>0.9134</v>
      </c>
      <c r="AZ57" s="42">
        <v>-0.09100000000000008</v>
      </c>
      <c r="BA57" s="48" t="s">
        <v>193</v>
      </c>
      <c r="BB57" s="39">
        <v>196.0</v>
      </c>
      <c r="BC57" s="39">
        <v>55.32</v>
      </c>
      <c r="BD57" s="50">
        <v>1.0909</v>
      </c>
      <c r="BE57" s="39">
        <v>146.13</v>
      </c>
      <c r="BF57" s="39">
        <v>-241.8</v>
      </c>
      <c r="BG57" s="39">
        <v>-59.86</v>
      </c>
      <c r="BH57" s="39">
        <v>-60.25</v>
      </c>
      <c r="BI57" s="39">
        <v>-60.65</v>
      </c>
      <c r="BJ57" s="39">
        <v>-61.04</v>
      </c>
      <c r="BK57" s="39">
        <v>13.43</v>
      </c>
      <c r="BL57" s="39">
        <v>4.12</v>
      </c>
      <c r="BM57" s="39">
        <v>-1.71</v>
      </c>
      <c r="BN57" s="41">
        <v>1.54</v>
      </c>
      <c r="BO57" s="39">
        <f t="shared" si="5"/>
        <v>-0.0170388751</v>
      </c>
      <c r="BP57" s="39">
        <f t="shared" si="6"/>
        <v>-0.01170190926</v>
      </c>
      <c r="BQ57" s="39">
        <f t="shared" si="7"/>
        <v>0.1146686523</v>
      </c>
    </row>
    <row r="58" ht="15.0" customHeight="1">
      <c r="A58" s="35">
        <v>3.0</v>
      </c>
      <c r="B58" s="36" t="s">
        <v>215</v>
      </c>
      <c r="C58" s="37"/>
      <c r="D58" s="38">
        <v>6.0</v>
      </c>
      <c r="E58" s="39">
        <v>4.0</v>
      </c>
      <c r="F58" s="39">
        <v>34.8</v>
      </c>
      <c r="G58" s="39">
        <f t="shared" si="9"/>
        <v>15.55654895</v>
      </c>
      <c r="H58" s="39">
        <v>2.7</v>
      </c>
      <c r="I58" s="41">
        <v>0.14</v>
      </c>
      <c r="J58" s="42">
        <v>1.059</v>
      </c>
      <c r="K58" s="42">
        <f>J58/1.378</f>
        <v>0.7685050798</v>
      </c>
      <c r="L58" s="42">
        <v>-1.747</v>
      </c>
      <c r="M58" s="42">
        <f>L58/2.6526</f>
        <v>-0.6585991103</v>
      </c>
      <c r="N58" s="42">
        <v>-0.863</v>
      </c>
      <c r="O58" s="44"/>
      <c r="P58" s="42">
        <v>-0.881</v>
      </c>
      <c r="Q58" s="44"/>
      <c r="R58" s="42">
        <v>0.018000000000000016</v>
      </c>
      <c r="S58" s="42">
        <v>0.192</v>
      </c>
      <c r="T58" s="42">
        <v>0.029</v>
      </c>
      <c r="U58" s="42">
        <v>0.0</v>
      </c>
      <c r="V58" s="42">
        <v>0.026</v>
      </c>
      <c r="W58" s="47">
        <v>0.9163</v>
      </c>
      <c r="X58" s="42">
        <v>-0.08899999999999997</v>
      </c>
      <c r="Y58" s="48" t="s">
        <v>193</v>
      </c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5">
        <v>3.0</v>
      </c>
      <c r="AN58" s="37" t="s">
        <v>215</v>
      </c>
      <c r="AO58" s="38">
        <v>6.0</v>
      </c>
      <c r="AP58" s="39">
        <v>4.0</v>
      </c>
      <c r="AQ58" s="39">
        <v>72.11</v>
      </c>
      <c r="AR58" s="39">
        <v>40.0</v>
      </c>
      <c r="AS58" s="39">
        <v>14.44</v>
      </c>
      <c r="AT58" s="39">
        <v>2.7</v>
      </c>
      <c r="AU58" s="41">
        <v>34.8</v>
      </c>
      <c r="AV58" s="38" t="s">
        <v>213</v>
      </c>
      <c r="AW58" s="39">
        <v>0.14</v>
      </c>
      <c r="AX58" s="35">
        <v>0.0</v>
      </c>
      <c r="AY58" s="42">
        <v>0.9163</v>
      </c>
      <c r="AZ58" s="42">
        <v>-0.08899999999999997</v>
      </c>
      <c r="BA58" s="48" t="s">
        <v>193</v>
      </c>
      <c r="BB58" s="39">
        <v>201.0</v>
      </c>
      <c r="BC58" s="39">
        <v>55.42</v>
      </c>
      <c r="BD58" s="50">
        <v>1.0909</v>
      </c>
      <c r="BE58" s="39">
        <v>147.27</v>
      </c>
      <c r="BF58" s="39">
        <v>-243.01</v>
      </c>
      <c r="BG58" s="39">
        <v>-59.43</v>
      </c>
      <c r="BH58" s="39">
        <v>-60.85</v>
      </c>
      <c r="BI58" s="39">
        <v>-60.65</v>
      </c>
      <c r="BJ58" s="39">
        <v>-62.08</v>
      </c>
      <c r="BK58" s="39">
        <v>26.72</v>
      </c>
      <c r="BL58" s="39">
        <v>6.36</v>
      </c>
      <c r="BM58" s="39">
        <v>0.1</v>
      </c>
      <c r="BN58" s="41">
        <v>5.62</v>
      </c>
      <c r="BO58" s="39">
        <f t="shared" si="5"/>
        <v>-0.02617176248</v>
      </c>
      <c r="BP58" s="39">
        <f t="shared" si="6"/>
        <v>0.0006790249202</v>
      </c>
      <c r="BQ58" s="39">
        <f t="shared" si="7"/>
        <v>0.2103293413</v>
      </c>
    </row>
    <row r="59" ht="15.0" customHeight="1">
      <c r="A59" s="35">
        <v>3.0</v>
      </c>
      <c r="B59" s="36" t="s">
        <v>215</v>
      </c>
      <c r="C59" s="37"/>
      <c r="D59" s="38">
        <v>7.0</v>
      </c>
      <c r="E59" s="39">
        <v>6.0</v>
      </c>
      <c r="F59" s="39">
        <v>34.8</v>
      </c>
      <c r="G59" s="39">
        <f t="shared" si="9"/>
        <v>15.55654895</v>
      </c>
      <c r="H59" s="39">
        <v>2.7</v>
      </c>
      <c r="I59" s="41">
        <v>0.14</v>
      </c>
      <c r="J59" s="42">
        <v>1.052</v>
      </c>
      <c r="K59" s="44"/>
      <c r="L59" s="42">
        <v>-1.724</v>
      </c>
      <c r="M59" s="44"/>
      <c r="N59" s="42">
        <v>-0.858</v>
      </c>
      <c r="O59" s="44"/>
      <c r="P59" s="42">
        <v>-0.868</v>
      </c>
      <c r="Q59" s="44"/>
      <c r="R59" s="42">
        <v>0.010000000000000009</v>
      </c>
      <c r="S59" s="42">
        <v>0.286</v>
      </c>
      <c r="T59" s="42">
        <v>0.018</v>
      </c>
      <c r="U59" s="42">
        <v>0.015</v>
      </c>
      <c r="V59" s="42">
        <v>0.043</v>
      </c>
      <c r="W59" s="47">
        <v>0.9141</v>
      </c>
      <c r="X59" s="42">
        <v>-0.09100000000000008</v>
      </c>
      <c r="Y59" s="48" t="s">
        <v>193</v>
      </c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5">
        <v>3.0</v>
      </c>
      <c r="AN59" s="37" t="s">
        <v>215</v>
      </c>
      <c r="AO59" s="38">
        <v>7.0</v>
      </c>
      <c r="AP59" s="39">
        <v>6.0</v>
      </c>
      <c r="AQ59" s="39">
        <v>72.26</v>
      </c>
      <c r="AR59" s="39">
        <v>40.0</v>
      </c>
      <c r="AS59" s="39">
        <v>14.37</v>
      </c>
      <c r="AT59" s="39">
        <v>2.7</v>
      </c>
      <c r="AU59" s="41">
        <v>34.8</v>
      </c>
      <c r="AV59" s="38" t="s">
        <v>213</v>
      </c>
      <c r="AW59" s="39">
        <v>0.14</v>
      </c>
      <c r="AX59" s="35">
        <v>0.0</v>
      </c>
      <c r="AY59" s="42">
        <v>0.9141</v>
      </c>
      <c r="AZ59" s="42">
        <v>-0.09100000000000008</v>
      </c>
      <c r="BA59" s="48" t="s">
        <v>193</v>
      </c>
      <c r="BB59" s="39">
        <v>200.5</v>
      </c>
      <c r="BC59" s="39">
        <v>55.4</v>
      </c>
      <c r="BD59" s="50">
        <v>1.0909</v>
      </c>
      <c r="BE59" s="39">
        <v>146.16</v>
      </c>
      <c r="BF59" s="39">
        <v>-239.62</v>
      </c>
      <c r="BG59" s="39">
        <v>-58.33</v>
      </c>
      <c r="BH59" s="39">
        <v>-60.73</v>
      </c>
      <c r="BI59" s="39">
        <v>-59.08</v>
      </c>
      <c r="BJ59" s="39">
        <v>-61.48</v>
      </c>
      <c r="BK59" s="39">
        <v>39.73</v>
      </c>
      <c r="BL59" s="39">
        <v>3.86</v>
      </c>
      <c r="BM59" s="39">
        <v>3.4</v>
      </c>
      <c r="BN59" s="41">
        <v>9.45</v>
      </c>
      <c r="BO59" s="39">
        <f t="shared" si="5"/>
        <v>-0.016108839</v>
      </c>
      <c r="BP59" s="39">
        <f t="shared" si="6"/>
        <v>0.02326217843</v>
      </c>
      <c r="BQ59" s="39">
        <f t="shared" si="7"/>
        <v>0.2378555248</v>
      </c>
    </row>
    <row r="60" ht="15.0" customHeight="1">
      <c r="A60" s="35">
        <v>3.0</v>
      </c>
      <c r="B60" s="36" t="s">
        <v>215</v>
      </c>
      <c r="C60" s="37"/>
      <c r="D60" s="38">
        <v>8.0</v>
      </c>
      <c r="E60" s="39">
        <v>8.0</v>
      </c>
      <c r="F60" s="39">
        <v>34.8</v>
      </c>
      <c r="G60" s="39">
        <f t="shared" si="9"/>
        <v>15.55654895</v>
      </c>
      <c r="H60" s="39">
        <v>2.6</v>
      </c>
      <c r="I60" s="41">
        <v>0.14</v>
      </c>
      <c r="J60" s="42">
        <v>1.037</v>
      </c>
      <c r="K60" s="44"/>
      <c r="L60" s="42">
        <v>-1.669</v>
      </c>
      <c r="M60" s="44"/>
      <c r="N60" s="42">
        <v>-0.834</v>
      </c>
      <c r="O60" s="44"/>
      <c r="P60" s="42">
        <v>-0.836</v>
      </c>
      <c r="Q60" s="44"/>
      <c r="R60" s="42">
        <v>0.0020000000000000018</v>
      </c>
      <c r="S60" s="42">
        <v>0.377</v>
      </c>
      <c r="T60" s="42">
        <v>0.004</v>
      </c>
      <c r="U60" s="42">
        <v>0.031</v>
      </c>
      <c r="V60" s="42">
        <v>0.063</v>
      </c>
      <c r="W60" s="47">
        <v>0.9123</v>
      </c>
      <c r="X60" s="42">
        <v>-0.09099999999999997</v>
      </c>
      <c r="Y60" s="48" t="s">
        <v>193</v>
      </c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5">
        <v>3.0</v>
      </c>
      <c r="AN60" s="37" t="s">
        <v>215</v>
      </c>
      <c r="AO60" s="38">
        <v>8.0</v>
      </c>
      <c r="AP60" s="39">
        <v>8.0</v>
      </c>
      <c r="AQ60" s="39">
        <v>72.3</v>
      </c>
      <c r="AR60" s="39">
        <v>40.0</v>
      </c>
      <c r="AS60" s="39">
        <v>14.31</v>
      </c>
      <c r="AT60" s="39">
        <v>2.6</v>
      </c>
      <c r="AU60" s="41">
        <v>34.8</v>
      </c>
      <c r="AV60" s="38" t="s">
        <v>213</v>
      </c>
      <c r="AW60" s="39">
        <v>0.14</v>
      </c>
      <c r="AX60" s="35">
        <v>0.0</v>
      </c>
      <c r="AY60" s="42">
        <v>0.9123</v>
      </c>
      <c r="AZ60" s="42">
        <v>-0.09099999999999997</v>
      </c>
      <c r="BA60" s="48" t="s">
        <v>193</v>
      </c>
      <c r="BB60" s="39">
        <v>200.0</v>
      </c>
      <c r="BC60" s="39">
        <v>55.43</v>
      </c>
      <c r="BD60" s="50">
        <v>1.0909</v>
      </c>
      <c r="BE60" s="39">
        <v>143.91</v>
      </c>
      <c r="BF60" s="39">
        <v>-231.68</v>
      </c>
      <c r="BG60" s="39">
        <v>-56.07</v>
      </c>
      <c r="BH60" s="39">
        <v>-59.61</v>
      </c>
      <c r="BI60" s="39">
        <v>-56.23</v>
      </c>
      <c r="BJ60" s="39">
        <v>-59.77</v>
      </c>
      <c r="BK60" s="39">
        <v>52.28</v>
      </c>
      <c r="BL60" s="39">
        <v>0.83</v>
      </c>
      <c r="BM60" s="39">
        <v>6.73</v>
      </c>
      <c r="BN60" s="41">
        <v>13.92</v>
      </c>
      <c r="BO60" s="39">
        <f t="shared" si="5"/>
        <v>-0.003582527624</v>
      </c>
      <c r="BP60" s="39">
        <f t="shared" si="6"/>
        <v>0.04676533945</v>
      </c>
      <c r="BQ60" s="39">
        <f t="shared" si="7"/>
        <v>0.2662586075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5.0" customHeight="1">
      <c r="A1" s="22" t="s">
        <v>141</v>
      </c>
      <c r="B1" s="23" t="s">
        <v>142</v>
      </c>
      <c r="C1" s="24"/>
      <c r="D1" s="25" t="s">
        <v>143</v>
      </c>
      <c r="E1" s="23" t="s">
        <v>144</v>
      </c>
      <c r="F1" s="23" t="s">
        <v>187</v>
      </c>
      <c r="G1" s="23" t="s">
        <v>146</v>
      </c>
      <c r="H1" s="23" t="s">
        <v>188</v>
      </c>
      <c r="I1" s="26" t="s">
        <v>148</v>
      </c>
      <c r="J1" s="43" t="s">
        <v>189</v>
      </c>
      <c r="K1" s="45" t="s">
        <v>190</v>
      </c>
      <c r="L1" s="46" t="s">
        <v>191</v>
      </c>
      <c r="M1" s="45" t="s">
        <v>190</v>
      </c>
      <c r="N1" s="28" t="s">
        <v>192</v>
      </c>
      <c r="O1" s="27" t="s">
        <v>194</v>
      </c>
      <c r="P1" s="28" t="s">
        <v>195</v>
      </c>
      <c r="Q1" s="27" t="s">
        <v>196</v>
      </c>
      <c r="R1" s="28" t="s">
        <v>197</v>
      </c>
      <c r="S1" s="46" t="s">
        <v>198</v>
      </c>
      <c r="T1" s="28" t="s">
        <v>199</v>
      </c>
      <c r="U1" s="28" t="s">
        <v>200</v>
      </c>
      <c r="V1" s="28" t="s">
        <v>201</v>
      </c>
      <c r="W1" s="29" t="s">
        <v>202</v>
      </c>
      <c r="X1" s="22" t="s">
        <v>203</v>
      </c>
      <c r="Y1" s="30" t="s">
        <v>204</v>
      </c>
      <c r="Z1" s="31" t="s">
        <v>163</v>
      </c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22" t="s">
        <v>141</v>
      </c>
      <c r="AO1" s="23" t="s">
        <v>142</v>
      </c>
      <c r="AP1" s="25" t="s">
        <v>143</v>
      </c>
      <c r="AQ1" s="23" t="s">
        <v>144</v>
      </c>
      <c r="AR1" s="23" t="s">
        <v>206</v>
      </c>
      <c r="AS1" s="23" t="s">
        <v>165</v>
      </c>
      <c r="AT1" s="23" t="s">
        <v>166</v>
      </c>
      <c r="AU1" s="23" t="s">
        <v>207</v>
      </c>
      <c r="AV1" s="26" t="s">
        <v>208</v>
      </c>
      <c r="AW1" s="23" t="s">
        <v>169</v>
      </c>
      <c r="AX1" s="26" t="s">
        <v>148</v>
      </c>
      <c r="AY1" s="23" t="s">
        <v>170</v>
      </c>
      <c r="AZ1" s="25" t="s">
        <v>209</v>
      </c>
      <c r="BA1" s="30" t="s">
        <v>211</v>
      </c>
      <c r="BB1" s="33" t="s">
        <v>163</v>
      </c>
      <c r="BC1" s="34" t="s">
        <v>173</v>
      </c>
      <c r="BD1" s="23" t="s">
        <v>174</v>
      </c>
      <c r="BE1" s="34" t="s">
        <v>212</v>
      </c>
      <c r="BF1" s="23" t="s">
        <v>176</v>
      </c>
      <c r="BG1" s="23" t="s">
        <v>177</v>
      </c>
      <c r="BH1" s="23" t="s">
        <v>178</v>
      </c>
      <c r="BI1" s="23" t="s">
        <v>179</v>
      </c>
      <c r="BJ1" s="23" t="s">
        <v>180</v>
      </c>
      <c r="BK1" s="23" t="s">
        <v>181</v>
      </c>
      <c r="BL1" s="23" t="s">
        <v>182</v>
      </c>
      <c r="BM1" s="23" t="s">
        <v>183</v>
      </c>
      <c r="BN1" s="23" t="s">
        <v>184</v>
      </c>
      <c r="BO1" s="26" t="s">
        <v>185</v>
      </c>
      <c r="BP1" s="32"/>
      <c r="BQ1" s="32"/>
      <c r="BR1" s="32"/>
    </row>
    <row r="2" ht="15.0" customHeight="1">
      <c r="A2" s="35">
        <v>1.0</v>
      </c>
      <c r="B2" s="36" t="s">
        <v>210</v>
      </c>
      <c r="C2" s="37"/>
      <c r="D2" s="38">
        <v>1.0</v>
      </c>
      <c r="E2" s="39">
        <v>0.0</v>
      </c>
      <c r="F2" s="39">
        <v>23.3</v>
      </c>
      <c r="G2" s="39">
        <f t="shared" ref="G2:G6" si="1">F2/2.237
</f>
        <v>10.41573536</v>
      </c>
      <c r="H2" s="39">
        <v>1.0</v>
      </c>
      <c r="I2" s="41">
        <v>0.05</v>
      </c>
      <c r="J2" s="42">
        <v>1.026</v>
      </c>
      <c r="K2" s="42">
        <f>J2/'25 CFD Data'!I2</f>
        <v>1.029624568</v>
      </c>
      <c r="L2" s="42">
        <v>-1.655</v>
      </c>
      <c r="M2" s="42">
        <f>L2/'25 CFD Data'!H2</f>
        <v>1.018678353</v>
      </c>
      <c r="N2" s="42">
        <v>-0.82</v>
      </c>
      <c r="O2" s="44">
        <f>N2/'25 CFD Data'!J17</f>
        <v>0.8787633898</v>
      </c>
      <c r="P2" s="42">
        <v>-0.835</v>
      </c>
      <c r="Q2" s="44">
        <f>P2/'25 CFD Data'!K17</f>
        <v>1.207476781</v>
      </c>
      <c r="R2" s="42">
        <v>0.015000000000000013</v>
      </c>
      <c r="S2" s="42">
        <f>R2/'25 CFD Data'!L17</f>
        <v>-0.06208486767</v>
      </c>
      <c r="T2" s="42">
        <v>0.021</v>
      </c>
      <c r="U2" s="42">
        <v>0.026</v>
      </c>
      <c r="V2" s="42">
        <v>-0.007</v>
      </c>
      <c r="W2" s="42">
        <v>0.0</v>
      </c>
      <c r="X2" s="47">
        <v>0.8035</v>
      </c>
      <c r="Y2" s="42">
        <v>-0.20200000000000007</v>
      </c>
      <c r="Z2" s="48" t="s">
        <v>193</v>
      </c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53">
        <f>BM2/(47.8803*AU2*1.091*1.585)</f>
        <v>0.02693357377</v>
      </c>
      <c r="AN2" s="35">
        <v>1.0</v>
      </c>
      <c r="AO2" s="37" t="s">
        <v>210</v>
      </c>
      <c r="AP2" s="38">
        <v>1.0</v>
      </c>
      <c r="AQ2" s="39">
        <v>0.0</v>
      </c>
      <c r="AR2" s="39">
        <v>70.96</v>
      </c>
      <c r="AS2" s="39">
        <v>40.0</v>
      </c>
      <c r="AT2" s="39">
        <v>15.81</v>
      </c>
      <c r="AU2" s="39">
        <v>1.0</v>
      </c>
      <c r="AV2" s="41">
        <v>23.3</v>
      </c>
      <c r="AW2" s="38" t="s">
        <v>213</v>
      </c>
      <c r="AX2" s="39">
        <v>0.05</v>
      </c>
      <c r="AY2" s="35">
        <v>0.0</v>
      </c>
      <c r="AZ2" s="42">
        <v>0.8035</v>
      </c>
      <c r="BA2" s="42">
        <v>-0.20200000000000007</v>
      </c>
      <c r="BB2" s="48" t="s">
        <v>193</v>
      </c>
      <c r="BC2" s="39">
        <v>93.0</v>
      </c>
      <c r="BD2" s="39">
        <v>35.37</v>
      </c>
      <c r="BE2" s="50">
        <v>1.0909</v>
      </c>
      <c r="BF2" s="39">
        <v>56.03</v>
      </c>
      <c r="BG2" s="39">
        <v>-90.37</v>
      </c>
      <c r="BH2" s="39">
        <v>-22.37</v>
      </c>
      <c r="BI2" s="39">
        <v>-22.38</v>
      </c>
      <c r="BJ2" s="39">
        <v>-22.8</v>
      </c>
      <c r="BK2" s="39">
        <v>-22.81</v>
      </c>
      <c r="BL2" s="39">
        <v>1.16</v>
      </c>
      <c r="BM2" s="39">
        <v>2.23</v>
      </c>
      <c r="BN2" s="39">
        <v>-0.65</v>
      </c>
      <c r="BO2" s="41">
        <v>0.03</v>
      </c>
      <c r="BP2" s="39">
        <f t="shared" ref="BP2:BP24" si="2">BM2/BG2</f>
        <v>-0.02467633064</v>
      </c>
      <c r="BQ2" s="39">
        <f t="shared" ref="BQ2:BQ24" si="3">BN2/BF2</f>
        <v>-0.01160092807</v>
      </c>
      <c r="BR2" s="39">
        <f t="shared" ref="BR2:BR24" si="4">BO2/BL2</f>
        <v>0.02586206897</v>
      </c>
    </row>
    <row r="3" ht="15.0" customHeight="1">
      <c r="A3" s="35">
        <v>1.0</v>
      </c>
      <c r="B3" s="36" t="s">
        <v>210</v>
      </c>
      <c r="C3" s="37"/>
      <c r="D3" s="38">
        <v>2.0</v>
      </c>
      <c r="E3" s="39">
        <v>0.0</v>
      </c>
      <c r="F3" s="39">
        <v>29.1</v>
      </c>
      <c r="G3" s="39">
        <f t="shared" si="1"/>
        <v>13.00849352</v>
      </c>
      <c r="H3" s="39">
        <v>1.7</v>
      </c>
      <c r="I3" s="41">
        <v>0.09</v>
      </c>
      <c r="J3" s="42">
        <v>1.046</v>
      </c>
      <c r="K3" s="42">
        <f>J3/'25 CFD Data'!I3</f>
        <v>1.102082718</v>
      </c>
      <c r="L3" s="42">
        <v>-1.729</v>
      </c>
      <c r="M3" s="42">
        <f>L3/'25 CFD Data'!H3</f>
        <v>1.052952814</v>
      </c>
      <c r="N3" s="42">
        <v>-0.863</v>
      </c>
      <c r="O3" s="44">
        <f>N3/'25 CFD Data'!J18</f>
        <v>0.9308250878</v>
      </c>
      <c r="P3" s="42">
        <v>-0.872</v>
      </c>
      <c r="Q3" s="44">
        <f>P3/'25 CFD Data'!K18</f>
        <v>1.219726367</v>
      </c>
      <c r="R3" s="42">
        <v>0.009000000000000008</v>
      </c>
      <c r="S3" s="42">
        <f>R3/'25 CFD Data'!L18</f>
        <v>-0.04240882152</v>
      </c>
      <c r="T3" s="42">
        <v>0.013</v>
      </c>
      <c r="U3" s="42">
        <v>0.015</v>
      </c>
      <c r="V3" s="42">
        <v>-0.009</v>
      </c>
      <c r="W3" s="42">
        <v>-0.008</v>
      </c>
      <c r="X3" s="47">
        <v>0.8764</v>
      </c>
      <c r="Y3" s="42">
        <v>-0.129</v>
      </c>
      <c r="Z3" s="48" t="s">
        <v>193</v>
      </c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5">
        <v>1.0</v>
      </c>
      <c r="AO3" s="37" t="s">
        <v>210</v>
      </c>
      <c r="AP3" s="38">
        <v>2.0</v>
      </c>
      <c r="AQ3" s="39">
        <v>0.0</v>
      </c>
      <c r="AR3" s="39">
        <v>72.39</v>
      </c>
      <c r="AS3" s="39">
        <v>40.0</v>
      </c>
      <c r="AT3" s="39">
        <v>14.69</v>
      </c>
      <c r="AU3" s="39">
        <v>1.7</v>
      </c>
      <c r="AV3" s="41">
        <v>29.1</v>
      </c>
      <c r="AW3" s="38" t="s">
        <v>213</v>
      </c>
      <c r="AX3" s="39">
        <v>0.09</v>
      </c>
      <c r="AY3" s="35">
        <v>0.0</v>
      </c>
      <c r="AZ3" s="42">
        <v>0.8764</v>
      </c>
      <c r="BA3" s="42">
        <v>-0.129</v>
      </c>
      <c r="BB3" s="48" t="s">
        <v>193</v>
      </c>
      <c r="BC3" s="39">
        <v>138.5</v>
      </c>
      <c r="BD3" s="39">
        <v>45.45</v>
      </c>
      <c r="BE3" s="50">
        <v>1.0909</v>
      </c>
      <c r="BF3" s="39">
        <v>95.97</v>
      </c>
      <c r="BG3" s="39">
        <v>-158.58</v>
      </c>
      <c r="BH3" s="39">
        <v>-39.6</v>
      </c>
      <c r="BI3" s="39">
        <v>-39.29</v>
      </c>
      <c r="BJ3" s="39">
        <v>-40.01</v>
      </c>
      <c r="BK3" s="39">
        <v>-39.7</v>
      </c>
      <c r="BL3" s="39">
        <v>1.15</v>
      </c>
      <c r="BM3" s="39">
        <v>2.13</v>
      </c>
      <c r="BN3" s="39">
        <v>-1.3</v>
      </c>
      <c r="BO3" s="41">
        <v>-1.22</v>
      </c>
      <c r="BP3" s="39">
        <f t="shared" si="2"/>
        <v>-0.01343170639</v>
      </c>
      <c r="BQ3" s="39">
        <f t="shared" si="3"/>
        <v>-0.01354589976</v>
      </c>
      <c r="BR3" s="39">
        <f t="shared" si="4"/>
        <v>-1.060869565</v>
      </c>
    </row>
    <row r="4" ht="15.0" customHeight="1">
      <c r="A4" s="35">
        <v>1.0</v>
      </c>
      <c r="B4" s="36" t="s">
        <v>210</v>
      </c>
      <c r="C4" s="37"/>
      <c r="D4" s="38">
        <v>3.0</v>
      </c>
      <c r="E4" s="39">
        <v>0.0</v>
      </c>
      <c r="F4" s="39">
        <v>34.9</v>
      </c>
      <c r="G4" s="39">
        <f t="shared" si="1"/>
        <v>15.60125168</v>
      </c>
      <c r="H4" s="39">
        <v>2.6</v>
      </c>
      <c r="I4" s="41">
        <v>0.14</v>
      </c>
      <c r="J4" s="42">
        <v>1.054</v>
      </c>
      <c r="K4" s="42">
        <f>J4/'25 CFD Data'!I4</f>
        <v>1.047646238</v>
      </c>
      <c r="L4" s="42">
        <v>-1.759</v>
      </c>
      <c r="M4" s="42">
        <f>L4/'25 CFD Data'!H4</f>
        <v>0.9471925527</v>
      </c>
      <c r="N4" s="42">
        <v>-0.87</v>
      </c>
      <c r="O4" s="44">
        <f>N4/'25 CFD Data'!J19</f>
        <v>0.8155577138</v>
      </c>
      <c r="P4" s="42">
        <v>-0.883</v>
      </c>
      <c r="Q4" s="44">
        <f>P4/'25 CFD Data'!K19</f>
        <v>1.117279846</v>
      </c>
      <c r="R4" s="42">
        <v>0.013000000000000012</v>
      </c>
      <c r="S4" s="42">
        <f>R4/'25 CFD Data'!L19</f>
        <v>-0.04702607564</v>
      </c>
      <c r="T4" s="42">
        <v>0.005</v>
      </c>
      <c r="U4" s="42">
        <v>0.022</v>
      </c>
      <c r="V4" s="42">
        <v>-0.009</v>
      </c>
      <c r="W4" s="42">
        <v>-0.012</v>
      </c>
      <c r="X4" s="47">
        <v>0.9147</v>
      </c>
      <c r="Y4" s="42">
        <v>-0.09000000000000008</v>
      </c>
      <c r="Z4" s="48" t="s">
        <v>193</v>
      </c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5">
        <v>1.0</v>
      </c>
      <c r="AO4" s="37" t="s">
        <v>210</v>
      </c>
      <c r="AP4" s="38">
        <v>3.0</v>
      </c>
      <c r="AQ4" s="39">
        <v>0.0</v>
      </c>
      <c r="AR4" s="39">
        <v>72.54</v>
      </c>
      <c r="AS4" s="39">
        <v>40.0</v>
      </c>
      <c r="AT4" s="39">
        <v>14.5</v>
      </c>
      <c r="AU4" s="39">
        <v>2.6</v>
      </c>
      <c r="AV4" s="41">
        <v>34.9</v>
      </c>
      <c r="AW4" s="38" t="s">
        <v>213</v>
      </c>
      <c r="AX4" s="39">
        <v>0.14</v>
      </c>
      <c r="AY4" s="35">
        <v>0.0</v>
      </c>
      <c r="AZ4" s="42">
        <v>0.9147</v>
      </c>
      <c r="BA4" s="42">
        <v>-0.09000000000000008</v>
      </c>
      <c r="BB4" s="48" t="s">
        <v>193</v>
      </c>
      <c r="BC4" s="39">
        <v>197.0</v>
      </c>
      <c r="BD4" s="39">
        <v>55.37</v>
      </c>
      <c r="BE4" s="50">
        <v>1.0909</v>
      </c>
      <c r="BF4" s="39">
        <v>146.19</v>
      </c>
      <c r="BG4" s="39">
        <v>-243.93</v>
      </c>
      <c r="BH4" s="39">
        <v>-60.84</v>
      </c>
      <c r="BI4" s="39">
        <v>-60.18</v>
      </c>
      <c r="BJ4" s="39">
        <v>-61.78</v>
      </c>
      <c r="BK4" s="39">
        <v>-61.13</v>
      </c>
      <c r="BL4" s="39">
        <v>0.76</v>
      </c>
      <c r="BM4" s="39">
        <v>4.94</v>
      </c>
      <c r="BN4" s="39">
        <v>-1.95</v>
      </c>
      <c r="BO4" s="41">
        <v>-2.57</v>
      </c>
      <c r="BP4" s="39">
        <f t="shared" si="2"/>
        <v>-0.02025171156</v>
      </c>
      <c r="BQ4" s="39">
        <f t="shared" si="3"/>
        <v>-0.01333880566</v>
      </c>
      <c r="BR4" s="39">
        <f t="shared" si="4"/>
        <v>-3.381578947</v>
      </c>
    </row>
    <row r="5" ht="15.0" customHeight="1">
      <c r="A5" s="35">
        <v>1.0</v>
      </c>
      <c r="B5" s="36" t="s">
        <v>210</v>
      </c>
      <c r="C5" s="37"/>
      <c r="D5" s="38">
        <v>4.0</v>
      </c>
      <c r="E5" s="39">
        <v>0.0</v>
      </c>
      <c r="F5" s="39">
        <v>40.5</v>
      </c>
      <c r="G5" s="39">
        <f t="shared" si="1"/>
        <v>18.10460438</v>
      </c>
      <c r="H5" s="39">
        <v>3.7</v>
      </c>
      <c r="I5" s="41">
        <v>0.19</v>
      </c>
      <c r="J5" s="42">
        <v>1.056</v>
      </c>
      <c r="K5" s="42">
        <f>J5/'25 CFD Data'!I5</f>
        <v>1.147505842</v>
      </c>
      <c r="L5" s="42">
        <v>-1.778</v>
      </c>
      <c r="M5" s="42">
        <f>L5/'25 CFD Data'!H5</f>
        <v>1.123876491</v>
      </c>
      <c r="N5" s="42">
        <v>-0.88</v>
      </c>
      <c r="O5" s="44">
        <f>N5/'25 CFD Data'!J20</f>
        <v>0.9804381486</v>
      </c>
      <c r="P5" s="42">
        <v>-0.896</v>
      </c>
      <c r="Q5" s="44">
        <f>P5/'25 CFD Data'!K20</f>
        <v>1.309048769</v>
      </c>
      <c r="R5" s="42">
        <v>0.016000000000000014</v>
      </c>
      <c r="S5" s="42">
        <f>R5/'25 CFD Data'!L20</f>
        <v>-0.07508514549</v>
      </c>
      <c r="T5" s="42">
        <v>0.004</v>
      </c>
      <c r="U5" s="42">
        <v>0.027</v>
      </c>
      <c r="V5" s="42">
        <v>-0.008</v>
      </c>
      <c r="W5" s="42">
        <v>-0.014</v>
      </c>
      <c r="X5" s="47">
        <v>0.9355</v>
      </c>
      <c r="Y5" s="42">
        <v>-0.06800000000000006</v>
      </c>
      <c r="Z5" s="48" t="s">
        <v>193</v>
      </c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5">
        <v>1.0</v>
      </c>
      <c r="AO5" s="37" t="s">
        <v>210</v>
      </c>
      <c r="AP5" s="38">
        <v>4.0</v>
      </c>
      <c r="AQ5" s="39">
        <v>0.0</v>
      </c>
      <c r="AR5" s="39">
        <v>72.51</v>
      </c>
      <c r="AS5" s="39">
        <v>40.0</v>
      </c>
      <c r="AT5" s="39">
        <v>14.65</v>
      </c>
      <c r="AU5" s="39">
        <v>3.7</v>
      </c>
      <c r="AV5" s="41">
        <v>40.5</v>
      </c>
      <c r="AW5" s="38" t="s">
        <v>213</v>
      </c>
      <c r="AX5" s="39">
        <v>0.19</v>
      </c>
      <c r="AY5" s="35">
        <v>0.0</v>
      </c>
      <c r="AZ5" s="42">
        <v>0.9355</v>
      </c>
      <c r="BA5" s="42">
        <v>-0.06800000000000006</v>
      </c>
      <c r="BB5" s="48" t="s">
        <v>193</v>
      </c>
      <c r="BC5" s="39">
        <v>268.17</v>
      </c>
      <c r="BD5" s="39">
        <v>64.75</v>
      </c>
      <c r="BE5" s="50">
        <v>1.0909</v>
      </c>
      <c r="BF5" s="39">
        <v>202.14</v>
      </c>
      <c r="BG5" s="39">
        <v>-340.35</v>
      </c>
      <c r="BH5" s="39">
        <v>-84.82</v>
      </c>
      <c r="BI5" s="39">
        <v>-83.75</v>
      </c>
      <c r="BJ5" s="39">
        <v>-86.42</v>
      </c>
      <c r="BK5" s="39">
        <v>-85.35</v>
      </c>
      <c r="BL5" s="39">
        <v>0.76</v>
      </c>
      <c r="BM5" s="39">
        <v>8.3</v>
      </c>
      <c r="BN5" s="39">
        <v>-2.32</v>
      </c>
      <c r="BO5" s="41">
        <v>-4.22</v>
      </c>
      <c r="BP5" s="39">
        <f t="shared" si="2"/>
        <v>-0.02438666079</v>
      </c>
      <c r="BQ5" s="39">
        <f t="shared" si="3"/>
        <v>-0.01147719402</v>
      </c>
      <c r="BR5" s="39">
        <f t="shared" si="4"/>
        <v>-5.552631579</v>
      </c>
    </row>
    <row r="6" ht="15.0" customHeight="1">
      <c r="A6" s="35">
        <v>1.0</v>
      </c>
      <c r="B6" s="36" t="s">
        <v>210</v>
      </c>
      <c r="C6" s="37"/>
      <c r="D6" s="38">
        <v>5.0</v>
      </c>
      <c r="E6" s="39">
        <v>0.0</v>
      </c>
      <c r="F6" s="39">
        <v>46.3</v>
      </c>
      <c r="G6" s="39">
        <f t="shared" si="1"/>
        <v>20.69736254</v>
      </c>
      <c r="H6" s="39">
        <v>4.9</v>
      </c>
      <c r="I6" s="41">
        <v>0.26</v>
      </c>
      <c r="J6" s="42">
        <v>1.061</v>
      </c>
      <c r="K6" s="42">
        <f>J6/'25 CFD Data'!I6</f>
        <v>1.057431669</v>
      </c>
      <c r="L6" s="42">
        <v>-1.808</v>
      </c>
      <c r="M6" s="42">
        <f>L6/'25 CFD Data'!H6</f>
        <v>0.9751862137</v>
      </c>
      <c r="N6" s="42">
        <v>-0.894</v>
      </c>
      <c r="O6" s="44">
        <f>N6/'25 CFD Data'!J21</f>
        <v>0.8418950882</v>
      </c>
      <c r="P6" s="42">
        <v>-0.913</v>
      </c>
      <c r="Q6" s="44">
        <f>P6/'25 CFD Data'!K21</f>
        <v>1.152610632</v>
      </c>
      <c r="R6" s="42">
        <v>0.019000000000000017</v>
      </c>
      <c r="S6" s="42">
        <f>R6/'25 CFD Data'!L21</f>
        <v>-0.07042901482</v>
      </c>
      <c r="T6" s="42">
        <v>0.004</v>
      </c>
      <c r="U6" s="42">
        <v>0.032</v>
      </c>
      <c r="V6" s="42">
        <v>-0.008</v>
      </c>
      <c r="W6" s="42">
        <v>-0.014</v>
      </c>
      <c r="X6" s="47">
        <v>0.9523</v>
      </c>
      <c r="Y6" s="42">
        <v>-0.050000000000000044</v>
      </c>
      <c r="Z6" s="48" t="s">
        <v>193</v>
      </c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5">
        <v>1.0</v>
      </c>
      <c r="AO6" s="37" t="s">
        <v>210</v>
      </c>
      <c r="AP6" s="38">
        <v>5.0</v>
      </c>
      <c r="AQ6" s="39">
        <v>0.0</v>
      </c>
      <c r="AR6" s="39">
        <v>72.41</v>
      </c>
      <c r="AS6" s="39">
        <v>40.0</v>
      </c>
      <c r="AT6" s="39">
        <v>14.71</v>
      </c>
      <c r="AU6" s="39">
        <v>4.9</v>
      </c>
      <c r="AV6" s="41">
        <v>46.3</v>
      </c>
      <c r="AW6" s="38" t="s">
        <v>213</v>
      </c>
      <c r="AX6" s="39">
        <v>0.26</v>
      </c>
      <c r="AY6" s="35">
        <v>0.0</v>
      </c>
      <c r="AZ6" s="42">
        <v>0.9523</v>
      </c>
      <c r="BA6" s="42">
        <v>-0.050000000000000044</v>
      </c>
      <c r="BB6" s="48" t="s">
        <v>193</v>
      </c>
      <c r="BC6" s="39">
        <v>350.0</v>
      </c>
      <c r="BD6" s="39">
        <v>74.38</v>
      </c>
      <c r="BE6" s="50">
        <v>1.0909</v>
      </c>
      <c r="BF6" s="39">
        <v>270.01</v>
      </c>
      <c r="BG6" s="39">
        <v>-460.05</v>
      </c>
      <c r="BH6" s="39">
        <v>-114.52</v>
      </c>
      <c r="BI6" s="39">
        <v>-113.05</v>
      </c>
      <c r="BJ6" s="39">
        <v>-116.97</v>
      </c>
      <c r="BK6" s="39">
        <v>-115.5</v>
      </c>
      <c r="BL6" s="39">
        <v>1.0</v>
      </c>
      <c r="BM6" s="39">
        <v>12.74</v>
      </c>
      <c r="BN6" s="39">
        <v>-3.09</v>
      </c>
      <c r="BO6" s="41">
        <v>-5.8</v>
      </c>
      <c r="BP6" s="39">
        <f t="shared" si="2"/>
        <v>-0.0276926421</v>
      </c>
      <c r="BQ6" s="39">
        <f t="shared" si="3"/>
        <v>-0.01144402059</v>
      </c>
      <c r="BR6" s="39">
        <f t="shared" si="4"/>
        <v>-5.8</v>
      </c>
    </row>
    <row r="7" ht="15.0" customHeight="1">
      <c r="A7" s="51"/>
      <c r="B7" s="37"/>
      <c r="C7" s="37"/>
      <c r="D7" s="37"/>
      <c r="E7" s="37"/>
      <c r="F7" s="37"/>
      <c r="G7" s="40"/>
      <c r="H7" s="37"/>
      <c r="I7" s="52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51"/>
      <c r="Y7" s="37"/>
      <c r="Z7" s="52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51"/>
      <c r="AO7" s="37"/>
      <c r="AP7" s="37"/>
      <c r="AQ7" s="37"/>
      <c r="AR7" s="37"/>
      <c r="AS7" s="37"/>
      <c r="AT7" s="37"/>
      <c r="AU7" s="37"/>
      <c r="AV7" s="52"/>
      <c r="AW7" s="37"/>
      <c r="AX7" s="37"/>
      <c r="AY7" s="51"/>
      <c r="AZ7" s="37"/>
      <c r="BA7" s="37"/>
      <c r="BB7" s="52"/>
      <c r="BC7" s="37"/>
      <c r="BD7" s="37"/>
      <c r="BE7" s="51"/>
      <c r="BF7" s="37"/>
      <c r="BG7" s="37"/>
      <c r="BH7" s="37"/>
      <c r="BI7" s="37"/>
      <c r="BJ7" s="37"/>
      <c r="BK7" s="37"/>
      <c r="BL7" s="37"/>
      <c r="BM7" s="37"/>
      <c r="BN7" s="37"/>
      <c r="BO7" s="52"/>
      <c r="BP7" s="39" t="str">
        <f t="shared" si="2"/>
        <v>#DIV/0!</v>
      </c>
      <c r="BQ7" s="39" t="str">
        <f t="shared" si="3"/>
        <v>#DIV/0!</v>
      </c>
      <c r="BR7" s="39" t="str">
        <f t="shared" si="4"/>
        <v>#DIV/0!</v>
      </c>
    </row>
    <row r="8" ht="15.0" customHeight="1">
      <c r="A8" s="35">
        <v>2.0</v>
      </c>
      <c r="B8" s="36" t="s">
        <v>214</v>
      </c>
      <c r="C8" s="37"/>
      <c r="D8" s="38">
        <v>1.0</v>
      </c>
      <c r="E8" s="39">
        <v>0.0</v>
      </c>
      <c r="F8" s="39">
        <v>23.3</v>
      </c>
      <c r="G8" s="39">
        <f t="shared" ref="G8:G15" si="5">F8/2.237
</f>
        <v>10.41573536</v>
      </c>
      <c r="H8" s="39">
        <v>1.0</v>
      </c>
      <c r="I8" s="41">
        <v>0.05</v>
      </c>
      <c r="J8" s="42">
        <v>1.028</v>
      </c>
      <c r="K8" s="44"/>
      <c r="L8" s="42">
        <v>-1.66</v>
      </c>
      <c r="M8" s="44"/>
      <c r="N8" s="42">
        <v>-0.825</v>
      </c>
      <c r="O8" s="44"/>
      <c r="P8" s="42">
        <v>-0.832</v>
      </c>
      <c r="Q8" s="44"/>
      <c r="R8" s="42">
        <v>0.007000000000000006</v>
      </c>
      <c r="S8" s="42"/>
      <c r="T8" s="42">
        <v>0.005</v>
      </c>
      <c r="U8" s="42">
        <v>0.011</v>
      </c>
      <c r="V8" s="42">
        <v>-0.011</v>
      </c>
      <c r="W8" s="42">
        <v>-0.003</v>
      </c>
      <c r="X8" s="47">
        <v>0.8005</v>
      </c>
      <c r="Y8" s="42">
        <v>-0.20500000000000007</v>
      </c>
      <c r="Z8" s="48" t="s">
        <v>193</v>
      </c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5">
        <v>2.0</v>
      </c>
      <c r="AO8" s="37" t="s">
        <v>214</v>
      </c>
      <c r="AP8" s="38">
        <v>1.0</v>
      </c>
      <c r="AQ8" s="39">
        <v>0.0</v>
      </c>
      <c r="AR8" s="39">
        <v>71.41</v>
      </c>
      <c r="AS8" s="39">
        <v>40.0</v>
      </c>
      <c r="AT8" s="39">
        <v>15.36</v>
      </c>
      <c r="AU8" s="39">
        <v>1.0</v>
      </c>
      <c r="AV8" s="41">
        <v>23.3</v>
      </c>
      <c r="AW8" s="38" t="s">
        <v>213</v>
      </c>
      <c r="AX8" s="39">
        <v>0.05</v>
      </c>
      <c r="AY8" s="35">
        <v>0.0</v>
      </c>
      <c r="AZ8" s="42">
        <v>0.8005</v>
      </c>
      <c r="BA8" s="42">
        <v>-0.20500000000000007</v>
      </c>
      <c r="BB8" s="48" t="s">
        <v>193</v>
      </c>
      <c r="BC8" s="39">
        <v>86.67</v>
      </c>
      <c r="BD8" s="39">
        <v>35.32</v>
      </c>
      <c r="BE8" s="50">
        <v>1.0909</v>
      </c>
      <c r="BF8" s="39">
        <v>56.07</v>
      </c>
      <c r="BG8" s="39">
        <v>-90.53</v>
      </c>
      <c r="BH8" s="39">
        <v>-22.57</v>
      </c>
      <c r="BI8" s="39">
        <v>-22.51</v>
      </c>
      <c r="BJ8" s="39">
        <v>-22.75</v>
      </c>
      <c r="BK8" s="39">
        <v>-22.7</v>
      </c>
      <c r="BL8" s="39">
        <v>0.3</v>
      </c>
      <c r="BM8" s="39">
        <v>0.97</v>
      </c>
      <c r="BN8" s="39">
        <v>-0.92</v>
      </c>
      <c r="BO8" s="41">
        <v>-0.23</v>
      </c>
      <c r="BP8" s="39">
        <f t="shared" si="2"/>
        <v>-0.01071468022</v>
      </c>
      <c r="BQ8" s="39">
        <f t="shared" si="3"/>
        <v>-0.01640806135</v>
      </c>
      <c r="BR8" s="39">
        <f t="shared" si="4"/>
        <v>-0.7666666667</v>
      </c>
    </row>
    <row r="9" ht="15.0" customHeight="1">
      <c r="A9" s="35">
        <v>2.0</v>
      </c>
      <c r="B9" s="36" t="s">
        <v>214</v>
      </c>
      <c r="C9" s="37"/>
      <c r="D9" s="38">
        <v>2.0</v>
      </c>
      <c r="E9" s="39">
        <v>4.0</v>
      </c>
      <c r="F9" s="39">
        <v>23.4</v>
      </c>
      <c r="G9" s="39">
        <f t="shared" si="5"/>
        <v>10.46043809</v>
      </c>
      <c r="H9" s="39">
        <v>1.0</v>
      </c>
      <c r="I9" s="41">
        <v>0.06</v>
      </c>
      <c r="J9" s="42">
        <v>1.047</v>
      </c>
      <c r="K9" s="42">
        <f>J9/1.36</f>
        <v>0.7698529412</v>
      </c>
      <c r="L9" s="42">
        <v>-1.631</v>
      </c>
      <c r="M9" s="42">
        <f>L9/2.53</f>
        <v>-0.6446640316</v>
      </c>
      <c r="N9" s="42">
        <v>-0.801</v>
      </c>
      <c r="O9" s="44"/>
      <c r="P9" s="42">
        <v>-0.822</v>
      </c>
      <c r="Q9" s="44"/>
      <c r="R9" s="42">
        <v>0.020999999999999908</v>
      </c>
      <c r="S9" s="42"/>
      <c r="T9" s="42">
        <v>0.192</v>
      </c>
      <c r="U9" s="42">
        <v>0.036</v>
      </c>
      <c r="V9" s="42">
        <v>-0.009</v>
      </c>
      <c r="W9" s="42">
        <v>0.046</v>
      </c>
      <c r="X9" s="47">
        <v>0.8042</v>
      </c>
      <c r="Y9" s="42">
        <v>-0.20499999999999996</v>
      </c>
      <c r="Z9" s="48" t="s">
        <v>193</v>
      </c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5">
        <v>2.0</v>
      </c>
      <c r="AO9" s="37" t="s">
        <v>214</v>
      </c>
      <c r="AP9" s="38">
        <v>2.0</v>
      </c>
      <c r="AQ9" s="39">
        <v>4.0</v>
      </c>
      <c r="AR9" s="39">
        <v>71.97</v>
      </c>
      <c r="AS9" s="39">
        <v>40.0</v>
      </c>
      <c r="AT9" s="39">
        <v>14.85</v>
      </c>
      <c r="AU9" s="39">
        <v>1.0</v>
      </c>
      <c r="AV9" s="41">
        <v>23.4</v>
      </c>
      <c r="AW9" s="38" t="s">
        <v>213</v>
      </c>
      <c r="AX9" s="39">
        <v>0.06</v>
      </c>
      <c r="AY9" s="35">
        <v>0.0</v>
      </c>
      <c r="AZ9" s="42">
        <v>0.8042</v>
      </c>
      <c r="BA9" s="42">
        <v>-0.20499999999999996</v>
      </c>
      <c r="BB9" s="48" t="s">
        <v>193</v>
      </c>
      <c r="BC9" s="39">
        <v>86.83</v>
      </c>
      <c r="BD9" s="39">
        <v>35.23</v>
      </c>
      <c r="BE9" s="50">
        <v>1.0909</v>
      </c>
      <c r="BF9" s="39">
        <v>57.2</v>
      </c>
      <c r="BG9" s="39">
        <v>-89.11</v>
      </c>
      <c r="BH9" s="39">
        <v>-21.47</v>
      </c>
      <c r="BI9" s="39">
        <v>-22.49</v>
      </c>
      <c r="BJ9" s="39">
        <v>-22.07</v>
      </c>
      <c r="BK9" s="39">
        <v>-23.08</v>
      </c>
      <c r="BL9" s="39">
        <v>10.48</v>
      </c>
      <c r="BM9" s="39">
        <v>3.08</v>
      </c>
      <c r="BN9" s="39">
        <v>-0.82</v>
      </c>
      <c r="BO9" s="41">
        <v>3.99</v>
      </c>
      <c r="BP9" s="39">
        <f t="shared" si="2"/>
        <v>-0.034564022</v>
      </c>
      <c r="BQ9" s="39">
        <f t="shared" si="3"/>
        <v>-0.01433566434</v>
      </c>
      <c r="BR9" s="39">
        <f t="shared" si="4"/>
        <v>0.3807251908</v>
      </c>
    </row>
    <row r="10" ht="15.0" customHeight="1">
      <c r="A10" s="35">
        <v>2.0</v>
      </c>
      <c r="B10" s="36" t="s">
        <v>214</v>
      </c>
      <c r="C10" s="37"/>
      <c r="D10" s="38">
        <v>3.0</v>
      </c>
      <c r="E10" s="39">
        <v>6.0</v>
      </c>
      <c r="F10" s="39">
        <v>23.3</v>
      </c>
      <c r="G10" s="39">
        <f t="shared" si="5"/>
        <v>10.41573536</v>
      </c>
      <c r="H10" s="39">
        <v>1.0</v>
      </c>
      <c r="I10" s="41">
        <v>0.06</v>
      </c>
      <c r="J10" s="42">
        <v>1.032</v>
      </c>
      <c r="K10" s="44"/>
      <c r="L10" s="42">
        <v>-1.617</v>
      </c>
      <c r="M10" s="44"/>
      <c r="N10" s="42">
        <v>-0.803</v>
      </c>
      <c r="O10" s="44"/>
      <c r="P10" s="42">
        <v>-0.814</v>
      </c>
      <c r="Q10" s="44"/>
      <c r="R10" s="42">
        <v>0.010999999999999899</v>
      </c>
      <c r="S10" s="42"/>
      <c r="T10" s="42">
        <v>0.272</v>
      </c>
      <c r="U10" s="42">
        <v>0.018</v>
      </c>
      <c r="V10" s="42">
        <v>0.008</v>
      </c>
      <c r="W10" s="42">
        <v>0.051</v>
      </c>
      <c r="X10" s="47">
        <v>0.8028</v>
      </c>
      <c r="Y10" s="42">
        <v>-0.20400000000000007</v>
      </c>
      <c r="Z10" s="48" t="s">
        <v>193</v>
      </c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5">
        <v>2.0</v>
      </c>
      <c r="AO10" s="37" t="s">
        <v>214</v>
      </c>
      <c r="AP10" s="38">
        <v>3.0</v>
      </c>
      <c r="AQ10" s="39">
        <v>6.0</v>
      </c>
      <c r="AR10" s="39">
        <v>72.31</v>
      </c>
      <c r="AS10" s="39">
        <v>40.0</v>
      </c>
      <c r="AT10" s="39">
        <v>14.57</v>
      </c>
      <c r="AU10" s="39">
        <v>1.0</v>
      </c>
      <c r="AV10" s="41">
        <v>23.3</v>
      </c>
      <c r="AW10" s="38" t="s">
        <v>213</v>
      </c>
      <c r="AX10" s="39">
        <v>0.06</v>
      </c>
      <c r="AY10" s="35">
        <v>0.0</v>
      </c>
      <c r="AZ10" s="42">
        <v>0.8028</v>
      </c>
      <c r="BA10" s="42">
        <v>-0.20400000000000007</v>
      </c>
      <c r="BB10" s="48" t="s">
        <v>193</v>
      </c>
      <c r="BC10" s="39">
        <v>90.83</v>
      </c>
      <c r="BD10" s="39">
        <v>35.26</v>
      </c>
      <c r="BE10" s="50">
        <v>1.0909</v>
      </c>
      <c r="BF10" s="39">
        <v>56.25</v>
      </c>
      <c r="BG10" s="39">
        <v>-88.17</v>
      </c>
      <c r="BH10" s="39">
        <v>-21.34</v>
      </c>
      <c r="BI10" s="39">
        <v>-22.45</v>
      </c>
      <c r="BJ10" s="39">
        <v>-21.63</v>
      </c>
      <c r="BK10" s="39">
        <v>-22.75</v>
      </c>
      <c r="BL10" s="39">
        <v>14.83</v>
      </c>
      <c r="BM10" s="39">
        <v>1.55</v>
      </c>
      <c r="BN10" s="39">
        <v>0.67</v>
      </c>
      <c r="BO10" s="41">
        <v>4.39</v>
      </c>
      <c r="BP10" s="39">
        <f t="shared" si="2"/>
        <v>-0.01757967563</v>
      </c>
      <c r="BQ10" s="39">
        <f t="shared" si="3"/>
        <v>0.01191111111</v>
      </c>
      <c r="BR10" s="39">
        <f t="shared" si="4"/>
        <v>0.2960215779</v>
      </c>
    </row>
    <row r="11" ht="15.0" customHeight="1">
      <c r="A11" s="35">
        <v>2.0</v>
      </c>
      <c r="B11" s="36" t="s">
        <v>214</v>
      </c>
      <c r="C11" s="37"/>
      <c r="D11" s="38">
        <v>4.0</v>
      </c>
      <c r="E11" s="39">
        <v>8.0</v>
      </c>
      <c r="F11" s="39">
        <v>23.3</v>
      </c>
      <c r="G11" s="39">
        <f t="shared" si="5"/>
        <v>10.41573536</v>
      </c>
      <c r="H11" s="39">
        <v>1.0</v>
      </c>
      <c r="I11" s="41">
        <v>0.06</v>
      </c>
      <c r="J11" s="42">
        <v>1.026</v>
      </c>
      <c r="K11" s="44"/>
      <c r="L11" s="42">
        <v>-1.559</v>
      </c>
      <c r="M11" s="44"/>
      <c r="N11" s="42">
        <v>-0.772</v>
      </c>
      <c r="O11" s="44"/>
      <c r="P11" s="42">
        <v>-0.781</v>
      </c>
      <c r="Q11" s="44"/>
      <c r="R11" s="42">
        <v>0.009000000000000008</v>
      </c>
      <c r="S11" s="42"/>
      <c r="T11" s="42">
        <v>0.365</v>
      </c>
      <c r="U11" s="42">
        <v>0.014</v>
      </c>
      <c r="V11" s="42">
        <v>0.023</v>
      </c>
      <c r="W11" s="42">
        <v>0.079</v>
      </c>
      <c r="X11" s="47">
        <v>0.797</v>
      </c>
      <c r="Y11" s="42">
        <v>-0.20800000000000007</v>
      </c>
      <c r="Z11" s="48" t="s">
        <v>193</v>
      </c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5">
        <v>2.0</v>
      </c>
      <c r="AO11" s="37" t="s">
        <v>214</v>
      </c>
      <c r="AP11" s="38">
        <v>4.0</v>
      </c>
      <c r="AQ11" s="39">
        <v>8.0</v>
      </c>
      <c r="AR11" s="39">
        <v>72.43</v>
      </c>
      <c r="AS11" s="39">
        <v>40.0</v>
      </c>
      <c r="AT11" s="39">
        <v>14.46</v>
      </c>
      <c r="AU11" s="39">
        <v>1.0</v>
      </c>
      <c r="AV11" s="41">
        <v>23.3</v>
      </c>
      <c r="AW11" s="38" t="s">
        <v>213</v>
      </c>
      <c r="AX11" s="39">
        <v>0.06</v>
      </c>
      <c r="AY11" s="35">
        <v>0.0</v>
      </c>
      <c r="AZ11" s="42">
        <v>0.797</v>
      </c>
      <c r="BA11" s="42">
        <v>-0.20800000000000007</v>
      </c>
      <c r="BB11" s="48" t="s">
        <v>193</v>
      </c>
      <c r="BC11" s="39">
        <v>85.5</v>
      </c>
      <c r="BD11" s="39">
        <v>35.27</v>
      </c>
      <c r="BE11" s="50">
        <v>1.0909</v>
      </c>
      <c r="BF11" s="39">
        <v>55.51</v>
      </c>
      <c r="BG11" s="39">
        <v>-84.35</v>
      </c>
      <c r="BH11" s="39">
        <v>-20.11</v>
      </c>
      <c r="BI11" s="39">
        <v>-21.84</v>
      </c>
      <c r="BJ11" s="39">
        <v>-20.34</v>
      </c>
      <c r="BK11" s="39">
        <v>-22.06</v>
      </c>
      <c r="BL11" s="39">
        <v>19.74</v>
      </c>
      <c r="BM11" s="39">
        <v>1.16</v>
      </c>
      <c r="BN11" s="39">
        <v>1.93</v>
      </c>
      <c r="BO11" s="41">
        <v>6.79</v>
      </c>
      <c r="BP11" s="39">
        <f t="shared" si="2"/>
        <v>-0.01375222288</v>
      </c>
      <c r="BQ11" s="39">
        <f t="shared" si="3"/>
        <v>0.03476851018</v>
      </c>
      <c r="BR11" s="39">
        <f t="shared" si="4"/>
        <v>0.3439716312</v>
      </c>
    </row>
    <row r="12" ht="15.0" customHeight="1">
      <c r="A12" s="35">
        <v>2.0</v>
      </c>
      <c r="B12" s="36" t="s">
        <v>214</v>
      </c>
      <c r="C12" s="37"/>
      <c r="D12" s="38">
        <v>5.0</v>
      </c>
      <c r="E12" s="39">
        <v>-2.0</v>
      </c>
      <c r="F12" s="39">
        <v>23.4</v>
      </c>
      <c r="G12" s="39">
        <f t="shared" si="5"/>
        <v>10.46043809</v>
      </c>
      <c r="H12" s="39">
        <v>1.0</v>
      </c>
      <c r="I12" s="41">
        <v>0.05</v>
      </c>
      <c r="J12" s="42">
        <v>1.021</v>
      </c>
      <c r="K12" s="44"/>
      <c r="L12" s="42">
        <v>-1.639</v>
      </c>
      <c r="M12" s="44"/>
      <c r="N12" s="42">
        <v>-0.808</v>
      </c>
      <c r="O12" s="44"/>
      <c r="P12" s="42">
        <v>-0.833</v>
      </c>
      <c r="Q12" s="44"/>
      <c r="R12" s="42">
        <v>0.02499999999999991</v>
      </c>
      <c r="S12" s="42"/>
      <c r="T12" s="42">
        <v>-0.095</v>
      </c>
      <c r="U12" s="42">
        <v>0.039</v>
      </c>
      <c r="V12" s="42">
        <v>-0.008</v>
      </c>
      <c r="W12" s="42">
        <v>-0.008</v>
      </c>
      <c r="X12" s="47">
        <v>0.8016</v>
      </c>
      <c r="Y12" s="42">
        <v>-0.20199999999999996</v>
      </c>
      <c r="Z12" s="48" t="s">
        <v>193</v>
      </c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5">
        <v>2.0</v>
      </c>
      <c r="AO12" s="37" t="s">
        <v>214</v>
      </c>
      <c r="AP12" s="38">
        <v>5.0</v>
      </c>
      <c r="AQ12" s="39">
        <v>-2.0</v>
      </c>
      <c r="AR12" s="39">
        <v>72.29</v>
      </c>
      <c r="AS12" s="39">
        <v>40.0</v>
      </c>
      <c r="AT12" s="39">
        <v>14.41</v>
      </c>
      <c r="AU12" s="39">
        <v>1.0</v>
      </c>
      <c r="AV12" s="41">
        <v>23.4</v>
      </c>
      <c r="AW12" s="38" t="s">
        <v>213</v>
      </c>
      <c r="AX12" s="39">
        <v>0.05</v>
      </c>
      <c r="AY12" s="35">
        <v>0.0</v>
      </c>
      <c r="AZ12" s="42">
        <v>0.8016</v>
      </c>
      <c r="BA12" s="42">
        <v>-0.20199999999999996</v>
      </c>
      <c r="BB12" s="48" t="s">
        <v>193</v>
      </c>
      <c r="BC12" s="39">
        <v>86.5</v>
      </c>
      <c r="BD12" s="39">
        <v>35.31</v>
      </c>
      <c r="BE12" s="50">
        <v>1.0909</v>
      </c>
      <c r="BF12" s="39">
        <v>55.8</v>
      </c>
      <c r="BG12" s="39">
        <v>-89.54</v>
      </c>
      <c r="BH12" s="39">
        <v>-22.14</v>
      </c>
      <c r="BI12" s="39">
        <v>-21.97</v>
      </c>
      <c r="BJ12" s="39">
        <v>-22.79</v>
      </c>
      <c r="BK12" s="39">
        <v>-22.63</v>
      </c>
      <c r="BL12" s="39">
        <v>-5.17</v>
      </c>
      <c r="BM12" s="39">
        <v>3.39</v>
      </c>
      <c r="BN12" s="39">
        <v>-0.69</v>
      </c>
      <c r="BO12" s="41">
        <v>-0.67</v>
      </c>
      <c r="BP12" s="39">
        <f t="shared" si="2"/>
        <v>-0.03786017422</v>
      </c>
      <c r="BQ12" s="39">
        <f t="shared" si="3"/>
        <v>-0.0123655914</v>
      </c>
      <c r="BR12" s="39">
        <f t="shared" si="4"/>
        <v>0.1295938104</v>
      </c>
    </row>
    <row r="13" ht="15.0" customHeight="1">
      <c r="A13" s="35">
        <v>2.0</v>
      </c>
      <c r="B13" s="36" t="s">
        <v>214</v>
      </c>
      <c r="C13" s="37"/>
      <c r="D13" s="38">
        <v>6.0</v>
      </c>
      <c r="E13" s="39">
        <v>-4.0</v>
      </c>
      <c r="F13" s="39">
        <v>23.3</v>
      </c>
      <c r="G13" s="39">
        <f t="shared" si="5"/>
        <v>10.41573536</v>
      </c>
      <c r="H13" s="39">
        <v>1.0</v>
      </c>
      <c r="I13" s="41">
        <v>0.05</v>
      </c>
      <c r="J13" s="42">
        <v>1.029</v>
      </c>
      <c r="K13" s="44"/>
      <c r="L13" s="42">
        <v>-1.619</v>
      </c>
      <c r="M13" s="44"/>
      <c r="N13" s="42">
        <v>-0.796</v>
      </c>
      <c r="O13" s="44"/>
      <c r="P13" s="42">
        <v>-0.821</v>
      </c>
      <c r="Q13" s="44"/>
      <c r="R13" s="42">
        <v>0.02499999999999991</v>
      </c>
      <c r="S13" s="42"/>
      <c r="T13" s="42">
        <v>-0.186</v>
      </c>
      <c r="U13" s="42">
        <v>0.042</v>
      </c>
      <c r="V13" s="42">
        <v>-0.017</v>
      </c>
      <c r="W13" s="42">
        <v>-0.024</v>
      </c>
      <c r="X13" s="47">
        <v>0.8071</v>
      </c>
      <c r="Y13" s="42">
        <v>-0.19799999999999995</v>
      </c>
      <c r="Z13" s="48" t="s">
        <v>193</v>
      </c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5">
        <v>2.0</v>
      </c>
      <c r="AO13" s="37" t="s">
        <v>214</v>
      </c>
      <c r="AP13" s="38">
        <v>6.0</v>
      </c>
      <c r="AQ13" s="39">
        <v>-4.0</v>
      </c>
      <c r="AR13" s="39">
        <v>72.44</v>
      </c>
      <c r="AS13" s="39">
        <v>40.0</v>
      </c>
      <c r="AT13" s="39">
        <v>14.34</v>
      </c>
      <c r="AU13" s="39">
        <v>1.0</v>
      </c>
      <c r="AV13" s="41">
        <v>23.3</v>
      </c>
      <c r="AW13" s="38" t="s">
        <v>213</v>
      </c>
      <c r="AX13" s="39">
        <v>0.05</v>
      </c>
      <c r="AY13" s="35">
        <v>0.0</v>
      </c>
      <c r="AZ13" s="42">
        <v>0.8071</v>
      </c>
      <c r="BA13" s="42">
        <v>-0.19799999999999995</v>
      </c>
      <c r="BB13" s="48" t="s">
        <v>193</v>
      </c>
      <c r="BC13" s="39">
        <v>87.83</v>
      </c>
      <c r="BD13" s="39">
        <v>35.36</v>
      </c>
      <c r="BE13" s="50">
        <v>1.0909</v>
      </c>
      <c r="BF13" s="39">
        <v>56.48</v>
      </c>
      <c r="BG13" s="39">
        <v>-88.81</v>
      </c>
      <c r="BH13" s="39">
        <v>-22.11</v>
      </c>
      <c r="BI13" s="39">
        <v>-21.59</v>
      </c>
      <c r="BJ13" s="39">
        <v>-22.82</v>
      </c>
      <c r="BK13" s="39">
        <v>-22.3</v>
      </c>
      <c r="BL13" s="39">
        <v>-10.19</v>
      </c>
      <c r="BM13" s="39">
        <v>3.68</v>
      </c>
      <c r="BN13" s="39">
        <v>-1.47</v>
      </c>
      <c r="BO13" s="41">
        <v>-2.05</v>
      </c>
      <c r="BP13" s="39">
        <f t="shared" si="2"/>
        <v>-0.04143677514</v>
      </c>
      <c r="BQ13" s="39">
        <f t="shared" si="3"/>
        <v>-0.02602691218</v>
      </c>
      <c r="BR13" s="39">
        <f t="shared" si="4"/>
        <v>0.2011776251</v>
      </c>
    </row>
    <row r="14" ht="15.0" customHeight="1">
      <c r="A14" s="35">
        <v>2.0</v>
      </c>
      <c r="B14" s="36" t="s">
        <v>214</v>
      </c>
      <c r="C14" s="37"/>
      <c r="D14" s="38">
        <v>7.0</v>
      </c>
      <c r="E14" s="39">
        <v>-6.0</v>
      </c>
      <c r="F14" s="39">
        <v>23.3</v>
      </c>
      <c r="G14" s="39">
        <f t="shared" si="5"/>
        <v>10.41573536</v>
      </c>
      <c r="H14" s="39">
        <v>1.1</v>
      </c>
      <c r="I14" s="41">
        <v>0.05</v>
      </c>
      <c r="J14" s="42">
        <v>1.023</v>
      </c>
      <c r="K14" s="44"/>
      <c r="L14" s="42">
        <v>-1.612</v>
      </c>
      <c r="M14" s="44"/>
      <c r="N14" s="42">
        <v>-0.795</v>
      </c>
      <c r="O14" s="44"/>
      <c r="P14" s="42">
        <v>-0.823</v>
      </c>
      <c r="Q14" s="44"/>
      <c r="R14" s="42">
        <v>0.027999999999999914</v>
      </c>
      <c r="S14" s="42"/>
      <c r="T14" s="42">
        <v>-0.283</v>
      </c>
      <c r="U14" s="42">
        <v>0.046</v>
      </c>
      <c r="V14" s="42">
        <v>-0.018</v>
      </c>
      <c r="W14" s="42">
        <v>-0.05</v>
      </c>
      <c r="X14" s="47">
        <v>0.8061</v>
      </c>
      <c r="Y14" s="42">
        <v>-0.19899999999999995</v>
      </c>
      <c r="Z14" s="48" t="s">
        <v>193</v>
      </c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5">
        <v>2.0</v>
      </c>
      <c r="AO14" s="37" t="s">
        <v>214</v>
      </c>
      <c r="AP14" s="38">
        <v>7.0</v>
      </c>
      <c r="AQ14" s="39">
        <v>-6.0</v>
      </c>
      <c r="AR14" s="39">
        <v>72.31</v>
      </c>
      <c r="AS14" s="39">
        <v>40.0</v>
      </c>
      <c r="AT14" s="39">
        <v>14.37</v>
      </c>
      <c r="AU14" s="39">
        <v>1.1</v>
      </c>
      <c r="AV14" s="41">
        <v>23.3</v>
      </c>
      <c r="AW14" s="38" t="s">
        <v>213</v>
      </c>
      <c r="AX14" s="39">
        <v>0.05</v>
      </c>
      <c r="AY14" s="35">
        <v>0.0</v>
      </c>
      <c r="AZ14" s="42">
        <v>0.8061</v>
      </c>
      <c r="BA14" s="42">
        <v>-0.19899999999999995</v>
      </c>
      <c r="BB14" s="48" t="s">
        <v>193</v>
      </c>
      <c r="BC14" s="39">
        <v>88.67</v>
      </c>
      <c r="BD14" s="39">
        <v>35.4</v>
      </c>
      <c r="BE14" s="50">
        <v>1.0909</v>
      </c>
      <c r="BF14" s="39">
        <v>56.29</v>
      </c>
      <c r="BG14" s="39">
        <v>-88.72</v>
      </c>
      <c r="BH14" s="39">
        <v>-22.35</v>
      </c>
      <c r="BI14" s="39">
        <v>-21.24</v>
      </c>
      <c r="BJ14" s="39">
        <v>-23.12</v>
      </c>
      <c r="BK14" s="39">
        <v>-22.01</v>
      </c>
      <c r="BL14" s="39">
        <v>-15.56</v>
      </c>
      <c r="BM14" s="39">
        <v>4.01</v>
      </c>
      <c r="BN14" s="39">
        <v>-1.58</v>
      </c>
      <c r="BO14" s="41">
        <v>-4.37</v>
      </c>
      <c r="BP14" s="39">
        <f t="shared" si="2"/>
        <v>-0.04519837692</v>
      </c>
      <c r="BQ14" s="39">
        <f t="shared" si="3"/>
        <v>-0.02806892876</v>
      </c>
      <c r="BR14" s="39">
        <f t="shared" si="4"/>
        <v>0.280848329</v>
      </c>
    </row>
    <row r="15" ht="15.0" customHeight="1">
      <c r="A15" s="35">
        <v>2.0</v>
      </c>
      <c r="B15" s="36" t="s">
        <v>214</v>
      </c>
      <c r="C15" s="37"/>
      <c r="D15" s="38">
        <v>8.0</v>
      </c>
      <c r="E15" s="39">
        <v>-8.0</v>
      </c>
      <c r="F15" s="39">
        <v>23.4</v>
      </c>
      <c r="G15" s="39">
        <f t="shared" si="5"/>
        <v>10.46043809</v>
      </c>
      <c r="H15" s="39">
        <v>1.0</v>
      </c>
      <c r="I15" s="41">
        <v>0.05</v>
      </c>
      <c r="J15" s="42">
        <v>1.014</v>
      </c>
      <c r="K15" s="44"/>
      <c r="L15" s="42">
        <v>-1.557</v>
      </c>
      <c r="M15" s="44"/>
      <c r="N15" s="42">
        <v>-0.774</v>
      </c>
      <c r="O15" s="44"/>
      <c r="P15" s="42">
        <v>-0.792</v>
      </c>
      <c r="Q15" s="44"/>
      <c r="R15" s="42">
        <v>0.018000000000000016</v>
      </c>
      <c r="S15" s="42"/>
      <c r="T15" s="42">
        <v>-0.376</v>
      </c>
      <c r="U15" s="42">
        <v>0.027</v>
      </c>
      <c r="V15" s="42">
        <v>-0.039</v>
      </c>
      <c r="W15" s="42">
        <v>-0.064</v>
      </c>
      <c r="X15" s="47">
        <v>0.8043</v>
      </c>
      <c r="Y15" s="42">
        <v>-0.19800000000000006</v>
      </c>
      <c r="Z15" s="48" t="s">
        <v>193</v>
      </c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5">
        <v>2.0</v>
      </c>
      <c r="AO15" s="37" t="s">
        <v>214</v>
      </c>
      <c r="AP15" s="38">
        <v>8.0</v>
      </c>
      <c r="AQ15" s="39">
        <v>-8.0</v>
      </c>
      <c r="AR15" s="39">
        <v>72.13</v>
      </c>
      <c r="AS15" s="39">
        <v>40.0</v>
      </c>
      <c r="AT15" s="39">
        <v>14.36</v>
      </c>
      <c r="AU15" s="39">
        <v>1.0</v>
      </c>
      <c r="AV15" s="41">
        <v>23.4</v>
      </c>
      <c r="AW15" s="38" t="s">
        <v>213</v>
      </c>
      <c r="AX15" s="39">
        <v>0.05</v>
      </c>
      <c r="AY15" s="35">
        <v>0.0</v>
      </c>
      <c r="AZ15" s="42">
        <v>0.8043</v>
      </c>
      <c r="BA15" s="42">
        <v>-0.19800000000000006</v>
      </c>
      <c r="BB15" s="48" t="s">
        <v>193</v>
      </c>
      <c r="BC15" s="39">
        <v>84.83</v>
      </c>
      <c r="BD15" s="39">
        <v>35.4</v>
      </c>
      <c r="BE15" s="50">
        <v>1.0909</v>
      </c>
      <c r="BF15" s="39">
        <v>55.59</v>
      </c>
      <c r="BG15" s="39">
        <v>-85.34</v>
      </c>
      <c r="BH15" s="39">
        <v>-21.81</v>
      </c>
      <c r="BI15" s="39">
        <v>-20.41</v>
      </c>
      <c r="BJ15" s="39">
        <v>-22.26</v>
      </c>
      <c r="BK15" s="39">
        <v>-20.86</v>
      </c>
      <c r="BL15" s="39">
        <v>-20.61</v>
      </c>
      <c r="BM15" s="39">
        <v>2.36</v>
      </c>
      <c r="BN15" s="39">
        <v>-3.37</v>
      </c>
      <c r="BO15" s="41">
        <v>-5.52</v>
      </c>
      <c r="BP15" s="39">
        <f t="shared" si="2"/>
        <v>-0.02765408952</v>
      </c>
      <c r="BQ15" s="39">
        <f t="shared" si="3"/>
        <v>-0.0606224141</v>
      </c>
      <c r="BR15" s="39">
        <f t="shared" si="4"/>
        <v>0.2678311499</v>
      </c>
    </row>
    <row r="16" ht="15.0" customHeight="1">
      <c r="A16" s="51"/>
      <c r="B16" s="37"/>
      <c r="C16" s="37"/>
      <c r="D16" s="37"/>
      <c r="E16" s="37"/>
      <c r="F16" s="37"/>
      <c r="G16" s="40"/>
      <c r="H16" s="37"/>
      <c r="I16" s="52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51"/>
      <c r="Y16" s="37"/>
      <c r="Z16" s="52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51"/>
      <c r="AO16" s="37"/>
      <c r="AP16" s="37"/>
      <c r="AQ16" s="37"/>
      <c r="AR16" s="37"/>
      <c r="AS16" s="37"/>
      <c r="AT16" s="37"/>
      <c r="AU16" s="37"/>
      <c r="AV16" s="52"/>
      <c r="AW16" s="37"/>
      <c r="AX16" s="37"/>
      <c r="AY16" s="51"/>
      <c r="AZ16" s="37"/>
      <c r="BA16" s="37"/>
      <c r="BB16" s="52"/>
      <c r="BC16" s="37"/>
      <c r="BD16" s="37"/>
      <c r="BE16" s="51"/>
      <c r="BF16" s="37"/>
      <c r="BG16" s="37"/>
      <c r="BH16" s="37"/>
      <c r="BI16" s="37"/>
      <c r="BJ16" s="37"/>
      <c r="BK16" s="37"/>
      <c r="BL16" s="37"/>
      <c r="BM16" s="37"/>
      <c r="BN16" s="37"/>
      <c r="BO16" s="52"/>
      <c r="BP16" s="39" t="str">
        <f t="shared" si="2"/>
        <v>#DIV/0!</v>
      </c>
      <c r="BQ16" s="39" t="str">
        <f t="shared" si="3"/>
        <v>#DIV/0!</v>
      </c>
      <c r="BR16" s="39" t="str">
        <f t="shared" si="4"/>
        <v>#DIV/0!</v>
      </c>
    </row>
    <row r="17" ht="15.0" customHeight="1">
      <c r="A17" s="35">
        <v>3.0</v>
      </c>
      <c r="B17" s="36" t="s">
        <v>215</v>
      </c>
      <c r="C17" s="37"/>
      <c r="D17" s="38">
        <v>1.0</v>
      </c>
      <c r="E17" s="39">
        <v>-8.0</v>
      </c>
      <c r="F17" s="39">
        <v>34.8</v>
      </c>
      <c r="G17" s="39">
        <f t="shared" ref="G17:G24" si="6">F17/2.237
</f>
        <v>15.55654895</v>
      </c>
      <c r="H17" s="39">
        <v>2.7</v>
      </c>
      <c r="I17" s="41">
        <v>0.14</v>
      </c>
      <c r="J17" s="42">
        <v>1.031</v>
      </c>
      <c r="K17" s="44"/>
      <c r="L17" s="42">
        <v>-1.667</v>
      </c>
      <c r="M17" s="44"/>
      <c r="N17" s="42">
        <v>-0.828</v>
      </c>
      <c r="O17" s="44"/>
      <c r="P17" s="42">
        <v>-0.836</v>
      </c>
      <c r="Q17" s="44"/>
      <c r="R17" s="42">
        <v>0.008000000000000007</v>
      </c>
      <c r="S17" s="42"/>
      <c r="T17" s="42">
        <v>-0.391</v>
      </c>
      <c r="U17" s="42">
        <v>0.014</v>
      </c>
      <c r="V17" s="42">
        <v>-0.046</v>
      </c>
      <c r="W17" s="42">
        <v>-0.091</v>
      </c>
      <c r="X17" s="47">
        <v>0.914</v>
      </c>
      <c r="Y17" s="42">
        <v>-0.08899999999999997</v>
      </c>
      <c r="Z17" s="48" t="s">
        <v>193</v>
      </c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5">
        <v>3.0</v>
      </c>
      <c r="AO17" s="37" t="s">
        <v>215</v>
      </c>
      <c r="AP17" s="38">
        <v>1.0</v>
      </c>
      <c r="AQ17" s="39">
        <v>-8.0</v>
      </c>
      <c r="AR17" s="39">
        <v>71.92</v>
      </c>
      <c r="AS17" s="39">
        <v>40.0</v>
      </c>
      <c r="AT17" s="39">
        <v>14.49</v>
      </c>
      <c r="AU17" s="39">
        <v>2.7</v>
      </c>
      <c r="AV17" s="41">
        <v>34.8</v>
      </c>
      <c r="AW17" s="38" t="s">
        <v>213</v>
      </c>
      <c r="AX17" s="39">
        <v>0.14</v>
      </c>
      <c r="AY17" s="35">
        <v>0.0</v>
      </c>
      <c r="AZ17" s="42">
        <v>0.914</v>
      </c>
      <c r="BA17" s="42">
        <v>-0.08899999999999997</v>
      </c>
      <c r="BB17" s="48" t="s">
        <v>193</v>
      </c>
      <c r="BC17" s="39">
        <v>197.83</v>
      </c>
      <c r="BD17" s="39">
        <v>55.46</v>
      </c>
      <c r="BE17" s="50">
        <v>1.0909</v>
      </c>
      <c r="BF17" s="39">
        <v>143.27</v>
      </c>
      <c r="BG17" s="39">
        <v>-231.71</v>
      </c>
      <c r="BH17" s="39">
        <v>-60.15</v>
      </c>
      <c r="BI17" s="39">
        <v>-55.1</v>
      </c>
      <c r="BJ17" s="39">
        <v>-60.75</v>
      </c>
      <c r="BK17" s="39">
        <v>-55.7</v>
      </c>
      <c r="BL17" s="39">
        <v>-54.31</v>
      </c>
      <c r="BM17" s="39">
        <v>3.14</v>
      </c>
      <c r="BN17" s="39">
        <v>-10.2</v>
      </c>
      <c r="BO17" s="41">
        <v>-19.89</v>
      </c>
      <c r="BP17" s="39">
        <f t="shared" si="2"/>
        <v>-0.01355142204</v>
      </c>
      <c r="BQ17" s="39">
        <f t="shared" si="3"/>
        <v>-0.07119424862</v>
      </c>
      <c r="BR17" s="39">
        <f t="shared" si="4"/>
        <v>0.3662308967</v>
      </c>
    </row>
    <row r="18" ht="15.0" customHeight="1">
      <c r="A18" s="35">
        <v>3.0</v>
      </c>
      <c r="B18" s="36" t="s">
        <v>215</v>
      </c>
      <c r="C18" s="37"/>
      <c r="D18" s="38">
        <v>2.0</v>
      </c>
      <c r="E18" s="39">
        <v>-6.0</v>
      </c>
      <c r="F18" s="39">
        <v>34.8</v>
      </c>
      <c r="G18" s="39">
        <f t="shared" si="6"/>
        <v>15.55654895</v>
      </c>
      <c r="H18" s="39">
        <v>2.7</v>
      </c>
      <c r="I18" s="41">
        <v>0.14</v>
      </c>
      <c r="J18" s="42">
        <v>1.05</v>
      </c>
      <c r="K18" s="44"/>
      <c r="L18" s="42">
        <v>-1.726</v>
      </c>
      <c r="M18" s="44"/>
      <c r="N18" s="42">
        <v>-0.856</v>
      </c>
      <c r="O18" s="44"/>
      <c r="P18" s="42">
        <v>-0.869</v>
      </c>
      <c r="Q18" s="44"/>
      <c r="R18" s="42">
        <v>0.013000000000000012</v>
      </c>
      <c r="S18" s="42"/>
      <c r="T18" s="42">
        <v>-0.297</v>
      </c>
      <c r="U18" s="42">
        <v>0.021</v>
      </c>
      <c r="V18" s="42">
        <v>-0.035</v>
      </c>
      <c r="W18" s="42">
        <v>-0.073</v>
      </c>
      <c r="X18" s="47">
        <v>0.9129</v>
      </c>
      <c r="Y18" s="42">
        <v>-0.09100000000000008</v>
      </c>
      <c r="Z18" s="48" t="s">
        <v>193</v>
      </c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5">
        <v>3.0</v>
      </c>
      <c r="AO18" s="37" t="s">
        <v>215</v>
      </c>
      <c r="AP18" s="38">
        <v>2.0</v>
      </c>
      <c r="AQ18" s="39">
        <v>-6.0</v>
      </c>
      <c r="AR18" s="39">
        <v>71.89</v>
      </c>
      <c r="AS18" s="39">
        <v>40.0</v>
      </c>
      <c r="AT18" s="39">
        <v>14.56</v>
      </c>
      <c r="AU18" s="39">
        <v>2.7</v>
      </c>
      <c r="AV18" s="41">
        <v>34.8</v>
      </c>
      <c r="AW18" s="38" t="s">
        <v>213</v>
      </c>
      <c r="AX18" s="39">
        <v>0.14</v>
      </c>
      <c r="AY18" s="35">
        <v>0.0</v>
      </c>
      <c r="AZ18" s="42">
        <v>0.9129</v>
      </c>
      <c r="BA18" s="42">
        <v>-0.09100000000000008</v>
      </c>
      <c r="BB18" s="48" t="s">
        <v>193</v>
      </c>
      <c r="BC18" s="39">
        <v>197.5</v>
      </c>
      <c r="BD18" s="39">
        <v>55.42</v>
      </c>
      <c r="BE18" s="50">
        <v>1.0909</v>
      </c>
      <c r="BF18" s="39">
        <v>145.69</v>
      </c>
      <c r="BG18" s="39">
        <v>-239.39</v>
      </c>
      <c r="BH18" s="39">
        <v>-61.42</v>
      </c>
      <c r="BI18" s="39">
        <v>-57.37</v>
      </c>
      <c r="BJ18" s="39">
        <v>-62.32</v>
      </c>
      <c r="BK18" s="39">
        <v>-58.27</v>
      </c>
      <c r="BL18" s="39">
        <v>-41.14</v>
      </c>
      <c r="BM18" s="39">
        <v>4.68</v>
      </c>
      <c r="BN18" s="39">
        <v>-7.63</v>
      </c>
      <c r="BO18" s="41">
        <v>-15.95</v>
      </c>
      <c r="BP18" s="39">
        <f t="shared" si="2"/>
        <v>-0.01954968879</v>
      </c>
      <c r="BQ18" s="39">
        <f t="shared" si="3"/>
        <v>-0.05237147368</v>
      </c>
      <c r="BR18" s="39">
        <f t="shared" si="4"/>
        <v>0.3877005348</v>
      </c>
    </row>
    <row r="19" ht="15.0" customHeight="1">
      <c r="A19" s="35">
        <v>3.0</v>
      </c>
      <c r="B19" s="36" t="s">
        <v>215</v>
      </c>
      <c r="C19" s="37"/>
      <c r="D19" s="38">
        <v>3.0</v>
      </c>
      <c r="E19" s="39">
        <v>-4.0</v>
      </c>
      <c r="F19" s="39">
        <v>34.9</v>
      </c>
      <c r="G19" s="39">
        <f t="shared" si="6"/>
        <v>15.60125168</v>
      </c>
      <c r="H19" s="39">
        <v>2.6</v>
      </c>
      <c r="I19" s="41">
        <v>0.14</v>
      </c>
      <c r="J19" s="42">
        <v>1.061</v>
      </c>
      <c r="K19" s="44"/>
      <c r="L19" s="42">
        <v>-1.754</v>
      </c>
      <c r="M19" s="44"/>
      <c r="N19" s="42">
        <v>-0.868</v>
      </c>
      <c r="O19" s="44"/>
      <c r="P19" s="42">
        <v>-0.887</v>
      </c>
      <c r="Q19" s="44"/>
      <c r="R19" s="42">
        <v>0.019000000000000017</v>
      </c>
      <c r="S19" s="42"/>
      <c r="T19" s="42">
        <v>-0.191</v>
      </c>
      <c r="U19" s="42">
        <v>0.031</v>
      </c>
      <c r="V19" s="42">
        <v>-0.023</v>
      </c>
      <c r="W19" s="42">
        <v>-0.046</v>
      </c>
      <c r="X19" s="47">
        <v>0.9132</v>
      </c>
      <c r="Y19" s="42">
        <v>-0.09199999999999997</v>
      </c>
      <c r="Z19" s="48" t="s">
        <v>193</v>
      </c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5">
        <v>3.0</v>
      </c>
      <c r="AO19" s="37" t="s">
        <v>215</v>
      </c>
      <c r="AP19" s="38">
        <v>3.0</v>
      </c>
      <c r="AQ19" s="39">
        <v>-4.0</v>
      </c>
      <c r="AR19" s="39">
        <v>71.75</v>
      </c>
      <c r="AS19" s="39">
        <v>40.0</v>
      </c>
      <c r="AT19" s="39">
        <v>14.58</v>
      </c>
      <c r="AU19" s="39">
        <v>2.6</v>
      </c>
      <c r="AV19" s="41">
        <v>34.9</v>
      </c>
      <c r="AW19" s="38" t="s">
        <v>213</v>
      </c>
      <c r="AX19" s="39">
        <v>0.14</v>
      </c>
      <c r="AY19" s="35">
        <v>0.0</v>
      </c>
      <c r="AZ19" s="42">
        <v>0.9132</v>
      </c>
      <c r="BA19" s="42">
        <v>-0.09199999999999997</v>
      </c>
      <c r="BB19" s="48" t="s">
        <v>193</v>
      </c>
      <c r="BC19" s="39">
        <v>197.67</v>
      </c>
      <c r="BD19" s="39">
        <v>55.41</v>
      </c>
      <c r="BE19" s="50">
        <v>1.0909</v>
      </c>
      <c r="BF19" s="39">
        <v>147.44</v>
      </c>
      <c r="BG19" s="39">
        <v>-243.71</v>
      </c>
      <c r="BH19" s="39">
        <v>-61.57</v>
      </c>
      <c r="BI19" s="39">
        <v>-58.99</v>
      </c>
      <c r="BJ19" s="39">
        <v>-62.86</v>
      </c>
      <c r="BK19" s="39">
        <v>-60.29</v>
      </c>
      <c r="BL19" s="39">
        <v>-26.53</v>
      </c>
      <c r="BM19" s="39">
        <v>6.74</v>
      </c>
      <c r="BN19" s="39">
        <v>-5.13</v>
      </c>
      <c r="BO19" s="41">
        <v>-10.13</v>
      </c>
      <c r="BP19" s="39">
        <f t="shared" si="2"/>
        <v>-0.02765582044</v>
      </c>
      <c r="BQ19" s="39">
        <f t="shared" si="3"/>
        <v>-0.03479381443</v>
      </c>
      <c r="BR19" s="39">
        <f t="shared" si="4"/>
        <v>0.3818318884</v>
      </c>
    </row>
    <row r="20" ht="15.0" customHeight="1">
      <c r="A20" s="35">
        <v>3.0</v>
      </c>
      <c r="B20" s="36" t="s">
        <v>215</v>
      </c>
      <c r="C20" s="37"/>
      <c r="D20" s="38">
        <v>4.0</v>
      </c>
      <c r="E20" s="39">
        <v>-2.0</v>
      </c>
      <c r="F20" s="39">
        <v>34.9</v>
      </c>
      <c r="G20" s="39">
        <f t="shared" si="6"/>
        <v>15.60125168</v>
      </c>
      <c r="H20" s="39">
        <v>2.7</v>
      </c>
      <c r="I20" s="41">
        <v>0.14</v>
      </c>
      <c r="J20" s="42">
        <v>1.053</v>
      </c>
      <c r="K20" s="44"/>
      <c r="L20" s="42">
        <v>-1.756</v>
      </c>
      <c r="M20" s="44"/>
      <c r="N20" s="42">
        <v>-0.869</v>
      </c>
      <c r="O20" s="44"/>
      <c r="P20" s="42">
        <v>-0.884</v>
      </c>
      <c r="Q20" s="44"/>
      <c r="R20" s="42">
        <v>0.015000000000000013</v>
      </c>
      <c r="S20" s="42"/>
      <c r="T20" s="42">
        <v>-0.099</v>
      </c>
      <c r="U20" s="42">
        <v>0.024</v>
      </c>
      <c r="V20" s="42">
        <v>-0.017</v>
      </c>
      <c r="W20" s="42">
        <v>-0.029</v>
      </c>
      <c r="X20" s="47">
        <v>0.9153</v>
      </c>
      <c r="Y20" s="42">
        <v>-0.08899999999999997</v>
      </c>
      <c r="Z20" s="48" t="s">
        <v>193</v>
      </c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5">
        <v>3.0</v>
      </c>
      <c r="AO20" s="37" t="s">
        <v>215</v>
      </c>
      <c r="AP20" s="38">
        <v>4.0</v>
      </c>
      <c r="AQ20" s="39">
        <v>-2.0</v>
      </c>
      <c r="AR20" s="39">
        <v>71.75</v>
      </c>
      <c r="AS20" s="39">
        <v>40.0</v>
      </c>
      <c r="AT20" s="39">
        <v>14.59</v>
      </c>
      <c r="AU20" s="39">
        <v>2.7</v>
      </c>
      <c r="AV20" s="41">
        <v>34.9</v>
      </c>
      <c r="AW20" s="38" t="s">
        <v>213</v>
      </c>
      <c r="AX20" s="39">
        <v>0.14</v>
      </c>
      <c r="AY20" s="35">
        <v>0.0</v>
      </c>
      <c r="AZ20" s="42">
        <v>0.9153</v>
      </c>
      <c r="BA20" s="42">
        <v>-0.08899999999999997</v>
      </c>
      <c r="BB20" s="48" t="s">
        <v>193</v>
      </c>
      <c r="BC20" s="39">
        <v>201.83</v>
      </c>
      <c r="BD20" s="39">
        <v>55.37</v>
      </c>
      <c r="BE20" s="50">
        <v>1.0909</v>
      </c>
      <c r="BF20" s="39">
        <v>146.47</v>
      </c>
      <c r="BG20" s="39">
        <v>-244.22</v>
      </c>
      <c r="BH20" s="39">
        <v>-61.35</v>
      </c>
      <c r="BI20" s="39">
        <v>-59.75</v>
      </c>
      <c r="BJ20" s="39">
        <v>-62.35</v>
      </c>
      <c r="BK20" s="39">
        <v>-60.75</v>
      </c>
      <c r="BL20" s="39">
        <v>-13.73</v>
      </c>
      <c r="BM20" s="39">
        <v>5.2</v>
      </c>
      <c r="BN20" s="39">
        <v>-3.8</v>
      </c>
      <c r="BO20" s="41">
        <v>-6.3</v>
      </c>
      <c r="BP20" s="39">
        <f t="shared" si="2"/>
        <v>-0.02129227745</v>
      </c>
      <c r="BQ20" s="39">
        <f t="shared" si="3"/>
        <v>-0.02594387929</v>
      </c>
      <c r="BR20" s="39">
        <f t="shared" si="4"/>
        <v>0.4588492353</v>
      </c>
    </row>
    <row r="21" ht="15.0" customHeight="1">
      <c r="A21" s="35">
        <v>3.0</v>
      </c>
      <c r="B21" s="36" t="s">
        <v>215</v>
      </c>
      <c r="C21" s="37"/>
      <c r="D21" s="38">
        <v>5.0</v>
      </c>
      <c r="E21" s="39">
        <v>2.0</v>
      </c>
      <c r="F21" s="39">
        <v>34.9</v>
      </c>
      <c r="G21" s="39">
        <f t="shared" si="6"/>
        <v>15.60125168</v>
      </c>
      <c r="H21" s="39">
        <v>2.7</v>
      </c>
      <c r="I21" s="41">
        <v>0.14</v>
      </c>
      <c r="J21" s="42">
        <v>1.052</v>
      </c>
      <c r="K21" s="44"/>
      <c r="L21" s="42">
        <v>-1.741</v>
      </c>
      <c r="M21" s="44"/>
      <c r="N21" s="42">
        <v>-0.863</v>
      </c>
      <c r="O21" s="44"/>
      <c r="P21" s="42">
        <v>-0.874</v>
      </c>
      <c r="Q21" s="44"/>
      <c r="R21" s="42">
        <v>0.01100000000000001</v>
      </c>
      <c r="S21" s="42"/>
      <c r="T21" s="42">
        <v>0.097</v>
      </c>
      <c r="U21" s="42">
        <v>0.019</v>
      </c>
      <c r="V21" s="42">
        <v>-0.008</v>
      </c>
      <c r="W21" s="42">
        <v>0.007</v>
      </c>
      <c r="X21" s="47">
        <v>0.9134</v>
      </c>
      <c r="Y21" s="42">
        <v>-0.09100000000000008</v>
      </c>
      <c r="Z21" s="48" t="s">
        <v>193</v>
      </c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5">
        <v>3.0</v>
      </c>
      <c r="AO21" s="37" t="s">
        <v>215</v>
      </c>
      <c r="AP21" s="38">
        <v>5.0</v>
      </c>
      <c r="AQ21" s="39">
        <v>2.0</v>
      </c>
      <c r="AR21" s="39">
        <v>71.85</v>
      </c>
      <c r="AS21" s="39">
        <v>40.0</v>
      </c>
      <c r="AT21" s="39">
        <v>14.56</v>
      </c>
      <c r="AU21" s="39">
        <v>2.7</v>
      </c>
      <c r="AV21" s="41">
        <v>34.9</v>
      </c>
      <c r="AW21" s="38" t="s">
        <v>213</v>
      </c>
      <c r="AX21" s="39">
        <v>0.14</v>
      </c>
      <c r="AY21" s="35">
        <v>0.0</v>
      </c>
      <c r="AZ21" s="42">
        <v>0.9134</v>
      </c>
      <c r="BA21" s="42">
        <v>-0.09100000000000008</v>
      </c>
      <c r="BB21" s="48" t="s">
        <v>193</v>
      </c>
      <c r="BC21" s="39">
        <v>196.0</v>
      </c>
      <c r="BD21" s="39">
        <v>55.32</v>
      </c>
      <c r="BE21" s="50">
        <v>1.0909</v>
      </c>
      <c r="BF21" s="39">
        <v>146.13</v>
      </c>
      <c r="BG21" s="39">
        <v>-241.8</v>
      </c>
      <c r="BH21" s="39">
        <v>-59.86</v>
      </c>
      <c r="BI21" s="39">
        <v>-60.25</v>
      </c>
      <c r="BJ21" s="39">
        <v>-60.65</v>
      </c>
      <c r="BK21" s="39">
        <v>-61.04</v>
      </c>
      <c r="BL21" s="39">
        <v>13.43</v>
      </c>
      <c r="BM21" s="39">
        <v>4.12</v>
      </c>
      <c r="BN21" s="39">
        <v>-1.71</v>
      </c>
      <c r="BO21" s="41">
        <v>1.54</v>
      </c>
      <c r="BP21" s="39">
        <f t="shared" si="2"/>
        <v>-0.0170388751</v>
      </c>
      <c r="BQ21" s="39">
        <f t="shared" si="3"/>
        <v>-0.01170190926</v>
      </c>
      <c r="BR21" s="39">
        <f t="shared" si="4"/>
        <v>0.1146686523</v>
      </c>
    </row>
    <row r="22" ht="15.0" customHeight="1">
      <c r="A22" s="35">
        <v>3.0</v>
      </c>
      <c r="B22" s="36" t="s">
        <v>215</v>
      </c>
      <c r="C22" s="37"/>
      <c r="D22" s="38">
        <v>6.0</v>
      </c>
      <c r="E22" s="39">
        <v>4.0</v>
      </c>
      <c r="F22" s="39">
        <v>34.8</v>
      </c>
      <c r="G22" s="39">
        <f t="shared" si="6"/>
        <v>15.55654895</v>
      </c>
      <c r="H22" s="39">
        <v>2.7</v>
      </c>
      <c r="I22" s="41">
        <v>0.14</v>
      </c>
      <c r="J22" s="42">
        <v>1.059</v>
      </c>
      <c r="K22" s="42">
        <f>J22/1.378</f>
        <v>0.7685050798</v>
      </c>
      <c r="L22" s="42">
        <v>-1.747</v>
      </c>
      <c r="M22" s="42">
        <f>L22/2.6526</f>
        <v>-0.6585991103</v>
      </c>
      <c r="N22" s="42">
        <v>-0.863</v>
      </c>
      <c r="O22" s="44"/>
      <c r="P22" s="42">
        <v>-0.881</v>
      </c>
      <c r="Q22" s="44"/>
      <c r="R22" s="42">
        <v>0.018000000000000016</v>
      </c>
      <c r="S22" s="42"/>
      <c r="T22" s="42">
        <v>0.192</v>
      </c>
      <c r="U22" s="42">
        <v>0.029</v>
      </c>
      <c r="V22" s="42">
        <v>0.0</v>
      </c>
      <c r="W22" s="42">
        <v>0.026</v>
      </c>
      <c r="X22" s="47">
        <v>0.9163</v>
      </c>
      <c r="Y22" s="42">
        <v>-0.08899999999999997</v>
      </c>
      <c r="Z22" s="48" t="s">
        <v>193</v>
      </c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5">
        <v>3.0</v>
      </c>
      <c r="AO22" s="37" t="s">
        <v>215</v>
      </c>
      <c r="AP22" s="38">
        <v>6.0</v>
      </c>
      <c r="AQ22" s="39">
        <v>4.0</v>
      </c>
      <c r="AR22" s="39">
        <v>72.11</v>
      </c>
      <c r="AS22" s="39">
        <v>40.0</v>
      </c>
      <c r="AT22" s="39">
        <v>14.44</v>
      </c>
      <c r="AU22" s="39">
        <v>2.7</v>
      </c>
      <c r="AV22" s="41">
        <v>34.8</v>
      </c>
      <c r="AW22" s="38" t="s">
        <v>213</v>
      </c>
      <c r="AX22" s="39">
        <v>0.14</v>
      </c>
      <c r="AY22" s="35">
        <v>0.0</v>
      </c>
      <c r="AZ22" s="42">
        <v>0.9163</v>
      </c>
      <c r="BA22" s="42">
        <v>-0.08899999999999997</v>
      </c>
      <c r="BB22" s="48" t="s">
        <v>193</v>
      </c>
      <c r="BC22" s="39">
        <v>201.0</v>
      </c>
      <c r="BD22" s="39">
        <v>55.42</v>
      </c>
      <c r="BE22" s="50">
        <v>1.0909</v>
      </c>
      <c r="BF22" s="39">
        <v>147.27</v>
      </c>
      <c r="BG22" s="39">
        <v>-243.01</v>
      </c>
      <c r="BH22" s="39">
        <v>-59.43</v>
      </c>
      <c r="BI22" s="39">
        <v>-60.85</v>
      </c>
      <c r="BJ22" s="39">
        <v>-60.65</v>
      </c>
      <c r="BK22" s="39">
        <v>-62.08</v>
      </c>
      <c r="BL22" s="39">
        <v>26.72</v>
      </c>
      <c r="BM22" s="39">
        <v>6.36</v>
      </c>
      <c r="BN22" s="39">
        <v>0.1</v>
      </c>
      <c r="BO22" s="41">
        <v>5.62</v>
      </c>
      <c r="BP22" s="39">
        <f t="shared" si="2"/>
        <v>-0.02617176248</v>
      </c>
      <c r="BQ22" s="39">
        <f t="shared" si="3"/>
        <v>0.0006790249202</v>
      </c>
      <c r="BR22" s="39">
        <f t="shared" si="4"/>
        <v>0.2103293413</v>
      </c>
    </row>
    <row r="23" ht="15.0" customHeight="1">
      <c r="A23" s="35">
        <v>3.0</v>
      </c>
      <c r="B23" s="36" t="s">
        <v>215</v>
      </c>
      <c r="C23" s="37"/>
      <c r="D23" s="38">
        <v>7.0</v>
      </c>
      <c r="E23" s="39">
        <v>6.0</v>
      </c>
      <c r="F23" s="39">
        <v>34.8</v>
      </c>
      <c r="G23" s="39">
        <f t="shared" si="6"/>
        <v>15.55654895</v>
      </c>
      <c r="H23" s="39">
        <v>2.7</v>
      </c>
      <c r="I23" s="41">
        <v>0.14</v>
      </c>
      <c r="J23" s="42">
        <v>1.052</v>
      </c>
      <c r="K23" s="44"/>
      <c r="L23" s="42">
        <v>-1.724</v>
      </c>
      <c r="M23" s="44"/>
      <c r="N23" s="42">
        <v>-0.858</v>
      </c>
      <c r="O23" s="44"/>
      <c r="P23" s="42">
        <v>-0.868</v>
      </c>
      <c r="Q23" s="44"/>
      <c r="R23" s="42">
        <v>0.010000000000000009</v>
      </c>
      <c r="S23" s="42"/>
      <c r="T23" s="42">
        <v>0.286</v>
      </c>
      <c r="U23" s="42">
        <v>0.018</v>
      </c>
      <c r="V23" s="42">
        <v>0.015</v>
      </c>
      <c r="W23" s="42">
        <v>0.043</v>
      </c>
      <c r="X23" s="47">
        <v>0.9141</v>
      </c>
      <c r="Y23" s="42">
        <v>-0.09100000000000008</v>
      </c>
      <c r="Z23" s="48" t="s">
        <v>193</v>
      </c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5">
        <v>3.0</v>
      </c>
      <c r="AO23" s="37" t="s">
        <v>215</v>
      </c>
      <c r="AP23" s="38">
        <v>7.0</v>
      </c>
      <c r="AQ23" s="39">
        <v>6.0</v>
      </c>
      <c r="AR23" s="39">
        <v>72.26</v>
      </c>
      <c r="AS23" s="39">
        <v>40.0</v>
      </c>
      <c r="AT23" s="39">
        <v>14.37</v>
      </c>
      <c r="AU23" s="39">
        <v>2.7</v>
      </c>
      <c r="AV23" s="41">
        <v>34.8</v>
      </c>
      <c r="AW23" s="38" t="s">
        <v>213</v>
      </c>
      <c r="AX23" s="39">
        <v>0.14</v>
      </c>
      <c r="AY23" s="35">
        <v>0.0</v>
      </c>
      <c r="AZ23" s="42">
        <v>0.9141</v>
      </c>
      <c r="BA23" s="42">
        <v>-0.09100000000000008</v>
      </c>
      <c r="BB23" s="48" t="s">
        <v>193</v>
      </c>
      <c r="BC23" s="39">
        <v>200.5</v>
      </c>
      <c r="BD23" s="39">
        <v>55.4</v>
      </c>
      <c r="BE23" s="50">
        <v>1.0909</v>
      </c>
      <c r="BF23" s="39">
        <v>146.16</v>
      </c>
      <c r="BG23" s="39">
        <v>-239.62</v>
      </c>
      <c r="BH23" s="39">
        <v>-58.33</v>
      </c>
      <c r="BI23" s="39">
        <v>-60.73</v>
      </c>
      <c r="BJ23" s="39">
        <v>-59.08</v>
      </c>
      <c r="BK23" s="39">
        <v>-61.48</v>
      </c>
      <c r="BL23" s="39">
        <v>39.73</v>
      </c>
      <c r="BM23" s="39">
        <v>3.86</v>
      </c>
      <c r="BN23" s="39">
        <v>3.4</v>
      </c>
      <c r="BO23" s="41">
        <v>9.45</v>
      </c>
      <c r="BP23" s="39">
        <f t="shared" si="2"/>
        <v>-0.016108839</v>
      </c>
      <c r="BQ23" s="39">
        <f t="shared" si="3"/>
        <v>0.02326217843</v>
      </c>
      <c r="BR23" s="39">
        <f t="shared" si="4"/>
        <v>0.2378555248</v>
      </c>
    </row>
    <row r="24" ht="15.0" customHeight="1">
      <c r="A24" s="35">
        <v>3.0</v>
      </c>
      <c r="B24" s="36" t="s">
        <v>215</v>
      </c>
      <c r="C24" s="37"/>
      <c r="D24" s="38">
        <v>8.0</v>
      </c>
      <c r="E24" s="39">
        <v>8.0</v>
      </c>
      <c r="F24" s="39">
        <v>34.8</v>
      </c>
      <c r="G24" s="39">
        <f t="shared" si="6"/>
        <v>15.55654895</v>
      </c>
      <c r="H24" s="39">
        <v>2.6</v>
      </c>
      <c r="I24" s="41">
        <v>0.14</v>
      </c>
      <c r="J24" s="42">
        <v>1.037</v>
      </c>
      <c r="K24" s="44"/>
      <c r="L24" s="42">
        <v>-1.669</v>
      </c>
      <c r="M24" s="44"/>
      <c r="N24" s="42">
        <v>-0.834</v>
      </c>
      <c r="O24" s="44"/>
      <c r="P24" s="42">
        <v>-0.836</v>
      </c>
      <c r="Q24" s="44"/>
      <c r="R24" s="42">
        <v>0.0020000000000000018</v>
      </c>
      <c r="S24" s="42"/>
      <c r="T24" s="42">
        <v>0.377</v>
      </c>
      <c r="U24" s="42">
        <v>0.004</v>
      </c>
      <c r="V24" s="42">
        <v>0.031</v>
      </c>
      <c r="W24" s="42">
        <v>0.063</v>
      </c>
      <c r="X24" s="47">
        <v>0.9123</v>
      </c>
      <c r="Y24" s="42">
        <v>-0.09099999999999997</v>
      </c>
      <c r="Z24" s="48" t="s">
        <v>193</v>
      </c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5">
        <v>3.0</v>
      </c>
      <c r="AO24" s="37" t="s">
        <v>215</v>
      </c>
      <c r="AP24" s="38">
        <v>8.0</v>
      </c>
      <c r="AQ24" s="39">
        <v>8.0</v>
      </c>
      <c r="AR24" s="39">
        <v>72.3</v>
      </c>
      <c r="AS24" s="39">
        <v>40.0</v>
      </c>
      <c r="AT24" s="39">
        <v>14.31</v>
      </c>
      <c r="AU24" s="39">
        <v>2.6</v>
      </c>
      <c r="AV24" s="41">
        <v>34.8</v>
      </c>
      <c r="AW24" s="38" t="s">
        <v>213</v>
      </c>
      <c r="AX24" s="39">
        <v>0.14</v>
      </c>
      <c r="AY24" s="35">
        <v>0.0</v>
      </c>
      <c r="AZ24" s="42">
        <v>0.9123</v>
      </c>
      <c r="BA24" s="42">
        <v>-0.09099999999999997</v>
      </c>
      <c r="BB24" s="48" t="s">
        <v>193</v>
      </c>
      <c r="BC24" s="39">
        <v>200.0</v>
      </c>
      <c r="BD24" s="39">
        <v>55.43</v>
      </c>
      <c r="BE24" s="50">
        <v>1.0909</v>
      </c>
      <c r="BF24" s="39">
        <v>143.91</v>
      </c>
      <c r="BG24" s="39">
        <v>-231.68</v>
      </c>
      <c r="BH24" s="39">
        <v>-56.07</v>
      </c>
      <c r="BI24" s="39">
        <v>-59.61</v>
      </c>
      <c r="BJ24" s="39">
        <v>-56.23</v>
      </c>
      <c r="BK24" s="39">
        <v>-59.77</v>
      </c>
      <c r="BL24" s="39">
        <v>52.28</v>
      </c>
      <c r="BM24" s="39">
        <v>0.83</v>
      </c>
      <c r="BN24" s="39">
        <v>6.73</v>
      </c>
      <c r="BO24" s="41">
        <v>13.92</v>
      </c>
      <c r="BP24" s="39">
        <f t="shared" si="2"/>
        <v>-0.003582527624</v>
      </c>
      <c r="BQ24" s="39">
        <f t="shared" si="3"/>
        <v>0.04676533945</v>
      </c>
      <c r="BR24" s="39">
        <f t="shared" si="4"/>
        <v>0.2662586075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43</v>
      </c>
      <c r="C1" s="1" t="s">
        <v>43</v>
      </c>
      <c r="D1" s="1" t="s">
        <v>47</v>
      </c>
      <c r="E1" s="1" t="s">
        <v>48</v>
      </c>
      <c r="F1" s="1" t="s">
        <v>3</v>
      </c>
      <c r="G1" s="1" t="s">
        <v>4</v>
      </c>
      <c r="H1" s="1" t="s">
        <v>51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/>
      <c r="W1" s="1" t="s">
        <v>19</v>
      </c>
      <c r="X1" s="1"/>
      <c r="Y1" s="1" t="s">
        <v>21</v>
      </c>
      <c r="Z1" s="2" t="s">
        <v>22</v>
      </c>
      <c r="AA1" s="2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42</v>
      </c>
      <c r="AT1" s="2" t="s">
        <v>44</v>
      </c>
      <c r="AU1" s="2" t="s">
        <v>45</v>
      </c>
      <c r="AV1" s="1" t="s">
        <v>46</v>
      </c>
      <c r="AW1" s="1" t="s">
        <v>49</v>
      </c>
      <c r="AX1" s="1" t="s">
        <v>50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2" t="s">
        <v>61</v>
      </c>
      <c r="BI1" s="2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  <c r="CZ1" s="1" t="s">
        <v>105</v>
      </c>
      <c r="DA1" s="1" t="s">
        <v>106</v>
      </c>
      <c r="DB1" s="1" t="s">
        <v>107</v>
      </c>
      <c r="DC1" s="1" t="s">
        <v>108</v>
      </c>
      <c r="DD1" s="1" t="s">
        <v>109</v>
      </c>
      <c r="DE1" s="1" t="s">
        <v>110</v>
      </c>
      <c r="DF1" s="1" t="s">
        <v>111</v>
      </c>
      <c r="DG1" s="1" t="s">
        <v>112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119</v>
      </c>
      <c r="DM1" s="1" t="s">
        <v>120</v>
      </c>
      <c r="DN1" s="1" t="s">
        <v>121</v>
      </c>
      <c r="DO1" s="1" t="s">
        <v>122</v>
      </c>
      <c r="DP1" s="1" t="s">
        <v>123</v>
      </c>
      <c r="DQ1" s="1" t="s">
        <v>124</v>
      </c>
    </row>
    <row r="2">
      <c r="A2" s="7">
        <v>1.1</v>
      </c>
      <c r="B2" s="7">
        <v>10.41573536</v>
      </c>
      <c r="C2" s="7">
        <v>23.3</v>
      </c>
      <c r="D2" s="7">
        <v>0.0</v>
      </c>
      <c r="E2" s="7" t="s">
        <v>125</v>
      </c>
      <c r="F2" s="7">
        <v>110.569002</v>
      </c>
      <c r="G2" s="7">
        <v>62.73860164</v>
      </c>
      <c r="H2" s="7">
        <v>-1.624654136</v>
      </c>
      <c r="I2" s="7">
        <v>0.9964797184</v>
      </c>
      <c r="J2" s="7">
        <v>0.7859075273</v>
      </c>
      <c r="K2" s="7">
        <v>0.4597780364</v>
      </c>
      <c r="L2" s="7">
        <v>1.76237594</v>
      </c>
      <c r="M2" s="7">
        <v>57.43557542</v>
      </c>
      <c r="N2" s="7">
        <v>42.56442458</v>
      </c>
      <c r="O2" s="7">
        <v>1.299990076</v>
      </c>
      <c r="P2" s="7">
        <v>0.1312165462</v>
      </c>
      <c r="Q2" s="7">
        <v>0.2786469311</v>
      </c>
      <c r="R2" s="7">
        <v>0.8108845924</v>
      </c>
      <c r="S2" s="7">
        <v>0.02838633352</v>
      </c>
      <c r="T2" s="7">
        <v>0.2077761057</v>
      </c>
      <c r="U2" s="7">
        <v>53.53592042</v>
      </c>
      <c r="V2" s="7">
        <f t="shared" ref="V2:V15" si="1">(U2/100)*H2</f>
        <v>-0.8697735453</v>
      </c>
      <c r="W2" s="7">
        <v>32.19156343</v>
      </c>
      <c r="X2" s="7">
        <f t="shared" ref="X2:X15" si="2">(W2/100)*H2</f>
        <v>-0.5230015667</v>
      </c>
      <c r="Y2" s="7">
        <v>0.1059804504</v>
      </c>
      <c r="Z2" s="7">
        <v>53.07743566</v>
      </c>
      <c r="AA2" s="7">
        <v>13.1771249</v>
      </c>
      <c r="AB2" s="7">
        <v>39.28022904</v>
      </c>
      <c r="AC2" s="7">
        <v>3.98258183</v>
      </c>
      <c r="AD2" s="7">
        <v>2.590143227</v>
      </c>
      <c r="AE2" s="7">
        <v>1.703470786</v>
      </c>
      <c r="AF2" s="7">
        <v>1.18040279</v>
      </c>
      <c r="AG2" s="7">
        <v>2.022634004</v>
      </c>
      <c r="AH2" s="7">
        <v>1.84302713</v>
      </c>
      <c r="AI2" s="7">
        <v>1.193639591</v>
      </c>
      <c r="AJ2" s="7">
        <v>1.67641295</v>
      </c>
      <c r="AK2" s="7">
        <v>2.064676207</v>
      </c>
      <c r="AL2" s="7">
        <v>0.3563823181</v>
      </c>
      <c r="AM2" s="7">
        <v>0.2357344184</v>
      </c>
      <c r="AN2" s="7">
        <v>3.748491242</v>
      </c>
      <c r="AO2" s="7">
        <v>0.3617412235</v>
      </c>
      <c r="AP2" s="7">
        <v>0.2149463216</v>
      </c>
      <c r="AQ2" s="7">
        <v>1.735371264</v>
      </c>
      <c r="AR2" s="7">
        <v>0.0</v>
      </c>
      <c r="AS2" s="7">
        <v>0.0</v>
      </c>
      <c r="AT2" s="7">
        <v>52.96435114</v>
      </c>
      <c r="AU2" s="7">
        <v>30.04318121</v>
      </c>
      <c r="AV2" s="7">
        <v>38.76196919</v>
      </c>
      <c r="AW2" s="7">
        <v>12.89151231</v>
      </c>
      <c r="AX2" s="7">
        <v>0.9146900005</v>
      </c>
      <c r="AY2" s="7">
        <v>0.0</v>
      </c>
      <c r="AZ2" s="7">
        <v>0.0</v>
      </c>
      <c r="BA2" s="7">
        <v>6.378062067</v>
      </c>
      <c r="BB2" s="7">
        <v>16.45688166</v>
      </c>
      <c r="BC2" s="7">
        <v>6.491607226</v>
      </c>
      <c r="BD2" s="7">
        <v>0.0</v>
      </c>
      <c r="BE2" s="7">
        <v>0.0</v>
      </c>
      <c r="BF2" s="7">
        <v>-0.5185103683</v>
      </c>
      <c r="BG2" s="7">
        <v>0.7166302563</v>
      </c>
      <c r="BH2" s="7">
        <v>19.89723467</v>
      </c>
      <c r="BI2" s="7">
        <v>3.230395138</v>
      </c>
      <c r="BJ2" s="7">
        <v>0.0</v>
      </c>
      <c r="BK2" s="7">
        <v>0.0</v>
      </c>
      <c r="BL2" s="7">
        <v>0.0</v>
      </c>
      <c r="BM2" s="7">
        <v>0.0</v>
      </c>
      <c r="BN2" s="7">
        <v>0.0</v>
      </c>
      <c r="BO2" s="7">
        <v>0.0</v>
      </c>
      <c r="BP2" s="7">
        <v>0.0</v>
      </c>
      <c r="BQ2" s="7">
        <v>0.0</v>
      </c>
      <c r="BR2" s="7">
        <v>0.0</v>
      </c>
      <c r="BS2" s="7">
        <v>0.0</v>
      </c>
      <c r="BT2" s="7">
        <v>-3.556685709</v>
      </c>
      <c r="BU2" s="7">
        <v>-0.2546888617</v>
      </c>
      <c r="BV2" s="7">
        <v>10.22894322</v>
      </c>
      <c r="BW2" s="7">
        <v>1.230971642</v>
      </c>
      <c r="BX2" s="7">
        <v>0.7193623929</v>
      </c>
      <c r="BY2" s="7">
        <v>3.77355502</v>
      </c>
      <c r="BZ2" s="7">
        <v>-1.601220245</v>
      </c>
      <c r="CA2" s="7">
        <v>3.528368056</v>
      </c>
      <c r="CB2" s="7">
        <v>0.0</v>
      </c>
      <c r="CC2" s="7">
        <v>0.0</v>
      </c>
      <c r="CD2" s="7">
        <v>0.0</v>
      </c>
      <c r="CE2" s="7">
        <v>-0.6901289416</v>
      </c>
      <c r="CF2" s="7">
        <v>2.233183079</v>
      </c>
      <c r="CG2" s="7">
        <v>0.0</v>
      </c>
      <c r="CH2" s="7">
        <v>0.0</v>
      </c>
      <c r="CI2" s="7">
        <v>-0.0252120994</v>
      </c>
      <c r="CJ2" s="7">
        <v>1.568806399</v>
      </c>
      <c r="CK2" s="7">
        <v>0.0</v>
      </c>
      <c r="CL2" s="7">
        <v>0.0</v>
      </c>
      <c r="CM2" s="7">
        <v>1.141244503</v>
      </c>
      <c r="CN2" s="7">
        <v>1.916077416</v>
      </c>
      <c r="CO2" s="7">
        <v>1.141244503</v>
      </c>
      <c r="CP2" s="7">
        <v>0.6520121812</v>
      </c>
      <c r="CQ2" s="7">
        <v>1.414314469</v>
      </c>
      <c r="CR2" s="7">
        <v>0.2281607195</v>
      </c>
      <c r="CS2" s="7">
        <v>-0.1038804399</v>
      </c>
      <c r="CT2" s="7">
        <v>0.04035363187</v>
      </c>
      <c r="CU2" s="7">
        <v>0.0</v>
      </c>
      <c r="CV2" s="7">
        <v>0.0</v>
      </c>
      <c r="CW2" s="7">
        <v>0.0</v>
      </c>
      <c r="CX2" s="7">
        <v>62.73860164</v>
      </c>
      <c r="CY2" s="7">
        <v>-110.569002</v>
      </c>
      <c r="CZ2" s="7">
        <v>-117.1395193</v>
      </c>
      <c r="DA2" s="7">
        <v>27.78077491</v>
      </c>
      <c r="DB2" s="7">
        <v>1.059424587</v>
      </c>
      <c r="DC2" s="7">
        <v>0.4428019463</v>
      </c>
      <c r="DD2" s="7">
        <v>3.46729652</v>
      </c>
      <c r="DE2" s="7">
        <v>1.083653023</v>
      </c>
      <c r="DF2" s="7">
        <v>10.0</v>
      </c>
      <c r="DG2" s="7">
        <v>1.162</v>
      </c>
      <c r="DH2" s="7">
        <v>100.0</v>
      </c>
      <c r="DI2" s="7">
        <v>8.909120831</v>
      </c>
      <c r="DJ2" s="7">
        <v>0.1520699023</v>
      </c>
      <c r="DK2" s="7">
        <v>5.420313349</v>
      </c>
      <c r="DL2" s="10">
        <v>4.6E-4</v>
      </c>
      <c r="DM2" s="7">
        <v>0.001813560858</v>
      </c>
      <c r="DN2" s="7">
        <v>0.001299763558</v>
      </c>
      <c r="DO2" s="7">
        <v>0.00169244725</v>
      </c>
      <c r="DP2" s="10">
        <v>4.45E-5</v>
      </c>
      <c r="DQ2" s="7">
        <v>0.01972971135</v>
      </c>
      <c r="DR2" s="11"/>
    </row>
    <row r="3">
      <c r="A3" s="7">
        <v>1.2</v>
      </c>
      <c r="B3" s="7">
        <v>13.00849352</v>
      </c>
      <c r="C3" s="7">
        <v>29.1</v>
      </c>
      <c r="D3" s="7">
        <v>0.0</v>
      </c>
      <c r="E3" s="7" t="s">
        <v>125</v>
      </c>
      <c r="F3" s="7">
        <v>174.3141685</v>
      </c>
      <c r="G3" s="7">
        <v>100.9881895</v>
      </c>
      <c r="H3" s="7">
        <v>-1.64204889</v>
      </c>
      <c r="I3" s="7">
        <v>0.949112061</v>
      </c>
      <c r="J3" s="7">
        <v>0.7331351187</v>
      </c>
      <c r="K3" s="7">
        <v>0.4379224902</v>
      </c>
      <c r="L3" s="7">
        <v>1.726084698</v>
      </c>
      <c r="M3" s="7">
        <v>56.46204869</v>
      </c>
      <c r="N3" s="7">
        <v>43.53795131</v>
      </c>
      <c r="O3" s="7">
        <v>1.24380414</v>
      </c>
      <c r="P3" s="7">
        <v>0.1102887529</v>
      </c>
      <c r="Q3" s="7">
        <v>0.2670014469</v>
      </c>
      <c r="R3" s="7">
        <v>0.7818990262</v>
      </c>
      <c r="S3" s="7">
        <v>0.02638442567</v>
      </c>
      <c r="T3" s="7">
        <v>0.207741446</v>
      </c>
      <c r="U3" s="7">
        <v>52.76759898</v>
      </c>
      <c r="V3" s="7">
        <f t="shared" si="1"/>
        <v>-0.8664697733</v>
      </c>
      <c r="W3" s="7">
        <v>29.387566</v>
      </c>
      <c r="X3" s="7">
        <f t="shared" si="2"/>
        <v>-0.4825582013</v>
      </c>
      <c r="Y3" s="7">
        <v>0.1027340656</v>
      </c>
      <c r="Z3" s="7">
        <v>84.13605046</v>
      </c>
      <c r="AA3" s="7">
        <v>21.27347845</v>
      </c>
      <c r="AB3" s="7">
        <v>61.89871304</v>
      </c>
      <c r="AC3" s="7">
        <v>6.453553941</v>
      </c>
      <c r="AD3" s="7">
        <v>4.117980851</v>
      </c>
      <c r="AE3" s="7">
        <v>2.791190778</v>
      </c>
      <c r="AF3" s="7">
        <v>1.878806623</v>
      </c>
      <c r="AG3" s="7">
        <v>3.364350107</v>
      </c>
      <c r="AH3" s="7">
        <v>2.958534131</v>
      </c>
      <c r="AI3" s="7">
        <v>1.873655686</v>
      </c>
      <c r="AJ3" s="7">
        <v>2.738016809</v>
      </c>
      <c r="AK3" s="7">
        <v>3.304816312</v>
      </c>
      <c r="AL3" s="7">
        <v>0.5871224072</v>
      </c>
      <c r="AM3" s="7">
        <v>0.3829991963</v>
      </c>
      <c r="AN3" s="7">
        <v>6.025683619</v>
      </c>
      <c r="AO3" s="7">
        <v>0.5886448377</v>
      </c>
      <c r="AP3" s="7">
        <v>0.3348779251</v>
      </c>
      <c r="AQ3" s="7">
        <v>2.805766333</v>
      </c>
      <c r="AR3" s="7">
        <v>0.0</v>
      </c>
      <c r="AS3" s="7">
        <v>0.0</v>
      </c>
      <c r="AT3" s="7">
        <v>87.56429722</v>
      </c>
      <c r="AU3" s="7">
        <v>49.42185334</v>
      </c>
      <c r="AV3" s="7">
        <v>63.93448646</v>
      </c>
      <c r="AW3" s="7">
        <v>21.43025533</v>
      </c>
      <c r="AX3" s="7">
        <v>1.522477076</v>
      </c>
      <c r="AY3" s="7">
        <v>0.0</v>
      </c>
      <c r="AZ3" s="7">
        <v>0.0</v>
      </c>
      <c r="BA3" s="7">
        <v>10.18920559</v>
      </c>
      <c r="BB3" s="7">
        <v>27.2063596</v>
      </c>
      <c r="BC3" s="7">
        <v>10.8862516</v>
      </c>
      <c r="BD3" s="7">
        <v>0.0</v>
      </c>
      <c r="BE3" s="7">
        <v>0.0</v>
      </c>
      <c r="BF3" s="7">
        <v>-0.8453987206</v>
      </c>
      <c r="BG3" s="7">
        <v>1.140036549</v>
      </c>
      <c r="BH3" s="7">
        <v>27.72747095</v>
      </c>
      <c r="BI3" s="7">
        <v>4.811121907</v>
      </c>
      <c r="BJ3" s="7">
        <v>0.0</v>
      </c>
      <c r="BK3" s="7">
        <v>0.0</v>
      </c>
      <c r="BL3" s="7">
        <v>0.0</v>
      </c>
      <c r="BM3" s="7">
        <v>0.0</v>
      </c>
      <c r="BN3" s="7">
        <v>0.0</v>
      </c>
      <c r="BO3" s="7">
        <v>0.0</v>
      </c>
      <c r="BP3" s="7">
        <v>0.0</v>
      </c>
      <c r="BQ3" s="7">
        <v>0.0</v>
      </c>
      <c r="BR3" s="7">
        <v>0.0</v>
      </c>
      <c r="BS3" s="7">
        <v>0.0</v>
      </c>
      <c r="BT3" s="7">
        <v>-5.817523847</v>
      </c>
      <c r="BU3" s="7">
        <v>-0.4044197424</v>
      </c>
      <c r="BV3" s="7">
        <v>15.22485878</v>
      </c>
      <c r="BW3" s="7">
        <v>1.786956192</v>
      </c>
      <c r="BX3" s="7">
        <v>1.334576052</v>
      </c>
      <c r="BY3" s="7">
        <v>6.404455568</v>
      </c>
      <c r="BZ3" s="7">
        <v>-4.922035221</v>
      </c>
      <c r="CA3" s="7">
        <v>5.521393557</v>
      </c>
      <c r="CB3" s="7">
        <v>0.0</v>
      </c>
      <c r="CC3" s="7">
        <v>0.0</v>
      </c>
      <c r="CD3" s="7">
        <v>0.0</v>
      </c>
      <c r="CE3" s="7">
        <v>-1.057742001</v>
      </c>
      <c r="CF3" s="7">
        <v>3.45529416</v>
      </c>
      <c r="CG3" s="7">
        <v>0.0</v>
      </c>
      <c r="CH3" s="7">
        <v>0.0</v>
      </c>
      <c r="CI3" s="7">
        <v>-0.04626165711</v>
      </c>
      <c r="CJ3" s="7">
        <v>2.511840097</v>
      </c>
      <c r="CK3" s="7">
        <v>0.0</v>
      </c>
      <c r="CL3" s="7">
        <v>0.0</v>
      </c>
      <c r="CM3" s="7">
        <v>1.781779122</v>
      </c>
      <c r="CN3" s="7">
        <v>2.577750089</v>
      </c>
      <c r="CO3" s="7">
        <v>1.781779122</v>
      </c>
      <c r="CP3" s="7">
        <v>1.023887572</v>
      </c>
      <c r="CQ3" s="7">
        <v>2.382059442</v>
      </c>
      <c r="CR3" s="7">
        <v>0.3787581</v>
      </c>
      <c r="CS3" s="7">
        <v>-0.190199041</v>
      </c>
      <c r="CT3" s="7">
        <v>0.05323464765</v>
      </c>
      <c r="CU3" s="7">
        <v>0.0</v>
      </c>
      <c r="CV3" s="7">
        <v>0.0</v>
      </c>
      <c r="CW3" s="7">
        <v>0.0</v>
      </c>
      <c r="CX3" s="7">
        <v>100.9881895</v>
      </c>
      <c r="CY3" s="7">
        <v>-174.3141685</v>
      </c>
      <c r="CZ3" s="7">
        <v>-188.0520592</v>
      </c>
      <c r="DA3" s="7">
        <v>45.72574278</v>
      </c>
      <c r="DB3" s="7">
        <v>1.078811096</v>
      </c>
      <c r="DC3" s="7">
        <v>0.452783073</v>
      </c>
      <c r="DD3" s="7">
        <v>3.46729652</v>
      </c>
      <c r="DE3" s="7">
        <v>1.083653023</v>
      </c>
      <c r="DF3" s="7">
        <v>13.0</v>
      </c>
      <c r="DG3" s="7">
        <v>1.162</v>
      </c>
      <c r="DH3" s="7">
        <v>100.0</v>
      </c>
      <c r="DI3" s="7">
        <v>8.80322371</v>
      </c>
      <c r="DJ3" s="7">
        <v>0.1561031786</v>
      </c>
      <c r="DK3" s="7">
        <v>5.564073692</v>
      </c>
      <c r="DL3" s="10">
        <v>2.89E-4</v>
      </c>
      <c r="DM3" s="7">
        <v>0.001264849786</v>
      </c>
      <c r="DN3" s="10">
        <v>8.43E-4</v>
      </c>
      <c r="DO3" s="10">
        <v>6.51E-4</v>
      </c>
      <c r="DP3" s="10">
        <v>3.2E-5</v>
      </c>
      <c r="DQ3" s="7">
        <v>0.02019146636</v>
      </c>
      <c r="DR3" s="11"/>
    </row>
    <row r="4">
      <c r="A4" s="7">
        <v>1.3</v>
      </c>
      <c r="B4" s="7">
        <v>15.60125168</v>
      </c>
      <c r="C4" s="7">
        <v>34.9</v>
      </c>
      <c r="D4" s="7">
        <v>0.0</v>
      </c>
      <c r="E4" s="7" t="s">
        <v>125</v>
      </c>
      <c r="F4" s="7">
        <v>283.5561334</v>
      </c>
      <c r="G4" s="7">
        <v>162.1557358</v>
      </c>
      <c r="H4" s="7">
        <v>-1.857066966</v>
      </c>
      <c r="I4" s="7">
        <v>1.006064797</v>
      </c>
      <c r="J4" s="7">
        <v>0.787294317</v>
      </c>
      <c r="K4" s="7">
        <v>0.4642006136</v>
      </c>
      <c r="L4" s="7">
        <v>1.748665454</v>
      </c>
      <c r="M4" s="7">
        <v>57.44298346</v>
      </c>
      <c r="N4" s="7">
        <v>42.55701654</v>
      </c>
      <c r="O4" s="7">
        <v>1.282645483</v>
      </c>
      <c r="P4" s="7">
        <v>0.1185495561</v>
      </c>
      <c r="Q4" s="7">
        <v>0.2684375893</v>
      </c>
      <c r="R4" s="7">
        <v>0.7938808501</v>
      </c>
      <c r="S4" s="7">
        <v>0.02788413944</v>
      </c>
      <c r="T4" s="7">
        <v>0.2103406912</v>
      </c>
      <c r="U4" s="7">
        <v>53.89559047</v>
      </c>
      <c r="V4" s="7">
        <f t="shared" si="1"/>
        <v>-1.000877207</v>
      </c>
      <c r="W4" s="7">
        <v>24.10602475</v>
      </c>
      <c r="X4" s="7">
        <f t="shared" si="2"/>
        <v>-0.4476650224</v>
      </c>
      <c r="Y4" s="7">
        <v>0.09109815151</v>
      </c>
      <c r="Z4" s="7">
        <v>137.61176</v>
      </c>
      <c r="AA4" s="7">
        <v>34.02664367</v>
      </c>
      <c r="AB4" s="7">
        <v>101.610351</v>
      </c>
      <c r="AC4" s="7">
        <v>10.36046644</v>
      </c>
      <c r="AD4" s="7">
        <v>6.750813889</v>
      </c>
      <c r="AE4" s="7">
        <v>4.437654366</v>
      </c>
      <c r="AF4" s="7">
        <v>3.131114337</v>
      </c>
      <c r="AG4" s="7">
        <v>4.981054311</v>
      </c>
      <c r="AH4" s="7">
        <v>4.782713607</v>
      </c>
      <c r="AI4" s="7">
        <v>3.099211928</v>
      </c>
      <c r="AJ4" s="7">
        <v>4.347270188</v>
      </c>
      <c r="AK4" s="7">
        <v>5.437658515</v>
      </c>
      <c r="AL4" s="7">
        <v>0.9259413928</v>
      </c>
      <c r="AM4" s="7">
        <v>0.6205211032</v>
      </c>
      <c r="AN4" s="7">
        <v>9.774897538</v>
      </c>
      <c r="AO4" s="7">
        <v>0.9250938747</v>
      </c>
      <c r="AP4" s="7">
        <v>0.5537201952</v>
      </c>
      <c r="AQ4" s="7">
        <v>4.462262539</v>
      </c>
      <c r="AR4" s="7">
        <v>0.0</v>
      </c>
      <c r="AS4" s="7">
        <v>0.0</v>
      </c>
      <c r="AT4" s="7">
        <v>139.926816</v>
      </c>
      <c r="AU4" s="7">
        <v>79.42066486</v>
      </c>
      <c r="AV4" s="7">
        <v>101.9944228</v>
      </c>
      <c r="AW4" s="7">
        <v>34.27604504</v>
      </c>
      <c r="AX4" s="7">
        <v>2.496947222</v>
      </c>
      <c r="AY4" s="7">
        <v>0.0</v>
      </c>
      <c r="AZ4" s="7">
        <v>0.0</v>
      </c>
      <c r="BA4" s="7">
        <v>16.86638836</v>
      </c>
      <c r="BB4" s="7">
        <v>43.56241346</v>
      </c>
      <c r="BC4" s="7">
        <v>17.12527883</v>
      </c>
      <c r="BD4" s="7">
        <v>0.0</v>
      </c>
      <c r="BE4" s="7">
        <v>0.0</v>
      </c>
      <c r="BF4" s="7">
        <v>-1.337546339</v>
      </c>
      <c r="BG4" s="7">
        <v>1.86658422</v>
      </c>
      <c r="BH4" s="7">
        <v>46.74390769</v>
      </c>
      <c r="BI4" s="7">
        <v>8.441249269</v>
      </c>
      <c r="BJ4" s="7">
        <v>0.0</v>
      </c>
      <c r="BK4" s="7">
        <v>0.0</v>
      </c>
      <c r="BL4" s="7">
        <v>0.0</v>
      </c>
      <c r="BM4" s="7">
        <v>0.0</v>
      </c>
      <c r="BN4" s="7">
        <v>0.0</v>
      </c>
      <c r="BO4" s="7">
        <v>0.0</v>
      </c>
      <c r="BP4" s="7">
        <v>0.0</v>
      </c>
      <c r="BQ4" s="7">
        <v>0.0</v>
      </c>
      <c r="BR4" s="7">
        <v>0.0</v>
      </c>
      <c r="BS4" s="7">
        <v>0.0</v>
      </c>
      <c r="BT4" s="7">
        <v>-9.16990049</v>
      </c>
      <c r="BU4" s="7">
        <v>-0.7113320474</v>
      </c>
      <c r="BV4" s="7">
        <v>23.49300024</v>
      </c>
      <c r="BW4" s="7">
        <v>2.54367569</v>
      </c>
      <c r="BX4" s="7">
        <v>1.73503887</v>
      </c>
      <c r="BY4" s="7">
        <v>9.562299245</v>
      </c>
      <c r="BZ4" s="7">
        <v>-5.932984082</v>
      </c>
      <c r="CA4" s="7">
        <v>9.791905894</v>
      </c>
      <c r="CB4" s="7">
        <v>0.0</v>
      </c>
      <c r="CC4" s="7">
        <v>0.0</v>
      </c>
      <c r="CD4" s="7">
        <v>0.0</v>
      </c>
      <c r="CE4" s="7">
        <v>-1.841935627</v>
      </c>
      <c r="CF4" s="7">
        <v>5.721562294</v>
      </c>
      <c r="CG4" s="7">
        <v>0.0</v>
      </c>
      <c r="CH4" s="7">
        <v>0.0</v>
      </c>
      <c r="CI4" s="7">
        <v>-0.05510438669</v>
      </c>
      <c r="CJ4" s="7">
        <v>4.10612075</v>
      </c>
      <c r="CK4" s="7">
        <v>0.0</v>
      </c>
      <c r="CL4" s="7">
        <v>0.0</v>
      </c>
      <c r="CM4" s="7">
        <v>2.560473307</v>
      </c>
      <c r="CN4" s="7">
        <v>3.988666877</v>
      </c>
      <c r="CO4" s="7">
        <v>2.560473307</v>
      </c>
      <c r="CP4" s="7">
        <v>1.655010473</v>
      </c>
      <c r="CQ4" s="7">
        <v>3.71962049</v>
      </c>
      <c r="CR4" s="7">
        <v>0.6404528545</v>
      </c>
      <c r="CS4" s="7">
        <v>-0.2657924522</v>
      </c>
      <c r="CT4" s="7">
        <v>0.06505689899</v>
      </c>
      <c r="CU4" s="7">
        <v>0.0</v>
      </c>
      <c r="CV4" s="7">
        <v>0.0</v>
      </c>
      <c r="CW4" s="7">
        <v>0.0</v>
      </c>
      <c r="CX4" s="7">
        <v>162.1557358</v>
      </c>
      <c r="CY4" s="7">
        <v>-283.5561334</v>
      </c>
      <c r="CZ4" s="7">
        <v>-300.3645089</v>
      </c>
      <c r="DA4" s="7">
        <v>73.40258924</v>
      </c>
      <c r="DB4" s="7">
        <v>1.059277066</v>
      </c>
      <c r="DC4" s="7">
        <v>0.4526672392</v>
      </c>
      <c r="DD4" s="7">
        <v>3.46729652</v>
      </c>
      <c r="DE4" s="7">
        <v>1.083653023</v>
      </c>
      <c r="DF4" s="7">
        <v>16.0</v>
      </c>
      <c r="DG4" s="7">
        <v>1.162</v>
      </c>
      <c r="DH4" s="7">
        <v>100.0</v>
      </c>
      <c r="DI4" s="7">
        <v>7.8557535</v>
      </c>
      <c r="DJ4" s="7">
        <v>0.1420372598</v>
      </c>
      <c r="DK4" s="7">
        <v>5.062714211</v>
      </c>
      <c r="DL4" s="10">
        <v>5.7E-4</v>
      </c>
      <c r="DM4" s="7">
        <v>0.00348716223</v>
      </c>
      <c r="DN4" s="7">
        <v>0.002081821441</v>
      </c>
      <c r="DO4" s="7">
        <v>0.001618694495</v>
      </c>
      <c r="DP4" s="10">
        <v>2.99E-5</v>
      </c>
      <c r="DQ4" s="7">
        <v>0.02054486373</v>
      </c>
      <c r="DR4" s="11"/>
    </row>
    <row r="5">
      <c r="A5" s="7">
        <v>1.4</v>
      </c>
      <c r="B5" s="7">
        <v>18.10460438</v>
      </c>
      <c r="C5" s="7">
        <v>40.5</v>
      </c>
      <c r="D5" s="7">
        <v>0.0</v>
      </c>
      <c r="E5" s="7" t="s">
        <v>125</v>
      </c>
      <c r="F5" s="7">
        <v>325.2998353</v>
      </c>
      <c r="G5" s="7">
        <v>187.7242612</v>
      </c>
      <c r="H5" s="7">
        <v>-1.582024372</v>
      </c>
      <c r="I5" s="7">
        <v>0.9202567525</v>
      </c>
      <c r="J5" s="7">
        <v>0.7136361943</v>
      </c>
      <c r="K5" s="7">
        <v>0.4246085844</v>
      </c>
      <c r="L5" s="7">
        <v>1.732859851</v>
      </c>
      <c r="M5" s="7">
        <v>56.73477034</v>
      </c>
      <c r="N5" s="7">
        <v>43.26522966</v>
      </c>
      <c r="O5" s="7">
        <v>1.260940629</v>
      </c>
      <c r="P5" s="7">
        <v>0.09445855692</v>
      </c>
      <c r="Q5" s="7">
        <v>0.2437395556</v>
      </c>
      <c r="R5" s="7">
        <v>0.7748318694</v>
      </c>
      <c r="S5" s="7">
        <v>0.02328257468</v>
      </c>
      <c r="T5" s="7">
        <v>0.1969282525</v>
      </c>
      <c r="U5" s="7">
        <v>53.67065965</v>
      </c>
      <c r="V5" s="7">
        <f t="shared" si="1"/>
        <v>-0.8490829163</v>
      </c>
      <c r="W5" s="7">
        <v>20.13297717</v>
      </c>
      <c r="X5" s="7">
        <f t="shared" si="2"/>
        <v>-0.3185086056</v>
      </c>
      <c r="Y5" s="7">
        <v>0.08360207706</v>
      </c>
      <c r="Z5" s="7">
        <v>158.9393954</v>
      </c>
      <c r="AA5" s="7">
        <v>40.52086632</v>
      </c>
      <c r="AB5" s="7">
        <v>116.3333923</v>
      </c>
      <c r="AC5" s="7">
        <v>12.32022118</v>
      </c>
      <c r="AD5" s="7">
        <v>7.902726513</v>
      </c>
      <c r="AE5" s="7">
        <v>5.351973308</v>
      </c>
      <c r="AF5" s="7">
        <v>3.665053752</v>
      </c>
      <c r="AG5" s="7">
        <v>6.23844304</v>
      </c>
      <c r="AH5" s="7">
        <v>5.622737148</v>
      </c>
      <c r="AI5" s="7">
        <v>3.561546135</v>
      </c>
      <c r="AJ5" s="7">
        <v>5.232005274</v>
      </c>
      <c r="AK5" s="7">
        <v>6.389538969</v>
      </c>
      <c r="AL5" s="7">
        <v>1.118212683</v>
      </c>
      <c r="AM5" s="7">
        <v>0.7383260319</v>
      </c>
      <c r="AN5" s="7">
        <v>11.5094896</v>
      </c>
      <c r="AO5" s="7">
        <v>1.106134755</v>
      </c>
      <c r="AP5" s="7">
        <v>0.6342690462</v>
      </c>
      <c r="AQ5" s="7">
        <v>5.346652986</v>
      </c>
      <c r="AR5" s="7">
        <v>0.0</v>
      </c>
      <c r="AS5" s="7">
        <v>0.0</v>
      </c>
      <c r="AT5" s="7">
        <v>164.3580466</v>
      </c>
      <c r="AU5" s="7">
        <v>91.95696808</v>
      </c>
      <c r="AV5" s="7">
        <v>119.9624389</v>
      </c>
      <c r="AW5" s="7">
        <v>40.19310686</v>
      </c>
      <c r="AX5" s="7">
        <v>2.859189725</v>
      </c>
      <c r="AY5" s="7">
        <v>0.0</v>
      </c>
      <c r="AZ5" s="7">
        <v>0.0</v>
      </c>
      <c r="BA5" s="7">
        <v>18.47135191</v>
      </c>
      <c r="BB5" s="7">
        <v>50.81071616</v>
      </c>
      <c r="BC5" s="7">
        <v>20.59893101</v>
      </c>
      <c r="BD5" s="7">
        <v>0.0</v>
      </c>
      <c r="BE5" s="7">
        <v>0.0</v>
      </c>
      <c r="BF5" s="7">
        <v>-1.515878653</v>
      </c>
      <c r="BG5" s="7">
        <v>2.07596901</v>
      </c>
      <c r="BH5" s="7">
        <v>48.21431442</v>
      </c>
      <c r="BI5" s="7">
        <v>9.153477798</v>
      </c>
      <c r="BJ5" s="7">
        <v>0.0</v>
      </c>
      <c r="BK5" s="7">
        <v>0.0</v>
      </c>
      <c r="BL5" s="7">
        <v>0.0</v>
      </c>
      <c r="BM5" s="7">
        <v>0.0</v>
      </c>
      <c r="BN5" s="7">
        <v>0.0</v>
      </c>
      <c r="BO5" s="7">
        <v>0.0</v>
      </c>
      <c r="BP5" s="7">
        <v>0.0</v>
      </c>
      <c r="BQ5" s="7">
        <v>0.0</v>
      </c>
      <c r="BR5" s="7">
        <v>0.0</v>
      </c>
      <c r="BS5" s="7">
        <v>0.0</v>
      </c>
      <c r="BT5" s="7">
        <v>-10.80011289</v>
      </c>
      <c r="BU5" s="7">
        <v>-0.7033227432</v>
      </c>
      <c r="BV5" s="7">
        <v>26.95771665</v>
      </c>
      <c r="BW5" s="7">
        <v>2.988105584</v>
      </c>
      <c r="BX5" s="7">
        <v>1.768929316</v>
      </c>
      <c r="BY5" s="7">
        <v>10.81728009</v>
      </c>
      <c r="BZ5" s="7">
        <v>-9.593639457</v>
      </c>
      <c r="CA5" s="7">
        <v>11.57616018</v>
      </c>
      <c r="CB5" s="7">
        <v>0.0</v>
      </c>
      <c r="CC5" s="7">
        <v>0.0</v>
      </c>
      <c r="CD5" s="7">
        <v>0.0</v>
      </c>
      <c r="CE5" s="7">
        <v>-1.968641199</v>
      </c>
      <c r="CF5" s="7">
        <v>6.346942467</v>
      </c>
      <c r="CG5" s="7">
        <v>0.0</v>
      </c>
      <c r="CH5" s="7">
        <v>0.0</v>
      </c>
      <c r="CI5" s="7">
        <v>-0.04262523918</v>
      </c>
      <c r="CJ5" s="7">
        <v>4.61602251</v>
      </c>
      <c r="CK5" s="7">
        <v>0.0</v>
      </c>
      <c r="CL5" s="7">
        <v>0.0</v>
      </c>
      <c r="CM5" s="7">
        <v>3.054267978</v>
      </c>
      <c r="CN5" s="7">
        <v>4.285184706</v>
      </c>
      <c r="CO5" s="7">
        <v>3.054267978</v>
      </c>
      <c r="CP5" s="7">
        <v>1.882026496</v>
      </c>
      <c r="CQ5" s="7">
        <v>4.589807812</v>
      </c>
      <c r="CR5" s="7">
        <v>0.8092287127</v>
      </c>
      <c r="CS5" s="7">
        <v>-0.3668673244</v>
      </c>
      <c r="CT5" s="7">
        <v>0.0753179041</v>
      </c>
      <c r="CU5" s="7">
        <v>0.0</v>
      </c>
      <c r="CV5" s="7">
        <v>0.0</v>
      </c>
      <c r="CW5" s="7">
        <v>0.0</v>
      </c>
      <c r="CX5" s="7">
        <v>187.7242612</v>
      </c>
      <c r="CY5" s="7">
        <v>-325.2998353</v>
      </c>
      <c r="CZ5" s="7">
        <v>-349.1704029</v>
      </c>
      <c r="DA5" s="7">
        <v>85.44985185</v>
      </c>
      <c r="DB5" s="7">
        <v>1.073380202</v>
      </c>
      <c r="DC5" s="7">
        <v>0.4551881109</v>
      </c>
      <c r="DD5" s="7">
        <v>3.46729652</v>
      </c>
      <c r="DE5" s="7">
        <v>1.083653023</v>
      </c>
      <c r="DF5" s="7">
        <v>18.0</v>
      </c>
      <c r="DG5" s="7">
        <v>1.162</v>
      </c>
      <c r="DH5" s="7">
        <v>100.0</v>
      </c>
      <c r="DI5" s="7">
        <v>9.319455324</v>
      </c>
      <c r="DJ5" s="7">
        <v>0.216813124</v>
      </c>
      <c r="DK5" s="7">
        <v>7.727992539</v>
      </c>
      <c r="DL5" s="7">
        <v>0.001048662756</v>
      </c>
      <c r="DM5" s="7">
        <v>0.007051969866</v>
      </c>
      <c r="DN5" s="7">
        <v>0.00819826155</v>
      </c>
      <c r="DO5" s="7">
        <v>0.007522715062</v>
      </c>
      <c r="DP5" s="7">
        <v>0.001494641045</v>
      </c>
      <c r="DQ5" s="7">
        <v>0.1641322637</v>
      </c>
      <c r="DR5" s="11"/>
    </row>
    <row r="6">
      <c r="A6" s="7">
        <v>1.5</v>
      </c>
      <c r="B6" s="7">
        <v>20.69736254</v>
      </c>
      <c r="C6" s="7">
        <v>46.3</v>
      </c>
      <c r="D6" s="7">
        <v>0.0</v>
      </c>
      <c r="E6" s="7" t="s">
        <v>125</v>
      </c>
      <c r="F6" s="7">
        <v>498.2341392</v>
      </c>
      <c r="G6" s="7">
        <v>278.591616</v>
      </c>
      <c r="H6" s="7">
        <v>-1.854004881</v>
      </c>
      <c r="I6" s="7">
        <v>1.003374526</v>
      </c>
      <c r="J6" s="7">
        <v>0.8030321399</v>
      </c>
      <c r="K6" s="7">
        <v>0.4629593165</v>
      </c>
      <c r="L6" s="7">
        <v>1.788403206</v>
      </c>
      <c r="M6" s="7">
        <v>57.27547108</v>
      </c>
      <c r="N6" s="7">
        <v>42.72452892</v>
      </c>
      <c r="O6" s="7">
        <v>1.402161027</v>
      </c>
      <c r="P6" s="7">
        <v>0.1126651958</v>
      </c>
      <c r="Q6" s="7">
        <v>0.2393850345</v>
      </c>
      <c r="R6" s="7">
        <v>0.8276058434</v>
      </c>
      <c r="S6" s="7">
        <v>0.026218785</v>
      </c>
      <c r="T6" s="7">
        <v>0.1956512977</v>
      </c>
      <c r="U6" s="7">
        <v>54.7438633</v>
      </c>
      <c r="V6" s="7">
        <f t="shared" si="1"/>
        <v>-1.014953898</v>
      </c>
      <c r="W6" s="7">
        <v>15.42739241</v>
      </c>
      <c r="X6" s="7">
        <f t="shared" si="2"/>
        <v>-0.2860246083</v>
      </c>
      <c r="Y6" s="7">
        <v>0.07174816872</v>
      </c>
      <c r="Z6" s="7">
        <v>239.6889331</v>
      </c>
      <c r="AA6" s="7">
        <v>58.6621631</v>
      </c>
      <c r="AB6" s="7">
        <v>177.3679667</v>
      </c>
      <c r="AC6" s="7">
        <v>17.96593578</v>
      </c>
      <c r="AD6" s="7">
        <v>11.66845367</v>
      </c>
      <c r="AE6" s="7">
        <v>7.674004413</v>
      </c>
      <c r="AF6" s="7">
        <v>5.48978645</v>
      </c>
      <c r="AG6" s="7">
        <v>8.243571692</v>
      </c>
      <c r="AH6" s="7">
        <v>8.296595952</v>
      </c>
      <c r="AI6" s="7">
        <v>5.328985441</v>
      </c>
      <c r="AJ6" s="7">
        <v>7.505039541</v>
      </c>
      <c r="AK6" s="7">
        <v>9.56797643</v>
      </c>
      <c r="AL6" s="7">
        <v>1.598972219</v>
      </c>
      <c r="AM6" s="7">
        <v>1.096746402</v>
      </c>
      <c r="AN6" s="7">
        <v>16.82706752</v>
      </c>
      <c r="AO6" s="7">
        <v>1.571468778</v>
      </c>
      <c r="AP6" s="7">
        <v>0.9621480219</v>
      </c>
      <c r="AQ6" s="7">
        <v>7.61840082</v>
      </c>
      <c r="AR6" s="7">
        <v>0.0</v>
      </c>
      <c r="AS6" s="7">
        <v>0.0</v>
      </c>
      <c r="AT6" s="7">
        <v>242.3639849</v>
      </c>
      <c r="AU6" s="7">
        <v>135.9751499</v>
      </c>
      <c r="AV6" s="7">
        <v>176.8779578</v>
      </c>
      <c r="AW6" s="7">
        <v>59.16274529</v>
      </c>
      <c r="AX6" s="7">
        <v>4.314105784</v>
      </c>
      <c r="AY6" s="7">
        <v>0.0</v>
      </c>
      <c r="AZ6" s="7">
        <v>0.0</v>
      </c>
      <c r="BA6" s="7">
        <v>28.25937041</v>
      </c>
      <c r="BB6" s="7">
        <v>75.09255235</v>
      </c>
      <c r="BC6" s="7">
        <v>29.50169647</v>
      </c>
      <c r="BD6" s="7">
        <v>0.0</v>
      </c>
      <c r="BE6" s="7">
        <v>0.0</v>
      </c>
      <c r="BF6" s="7">
        <v>-2.304929807</v>
      </c>
      <c r="BG6" s="7">
        <v>3.121530638</v>
      </c>
      <c r="BH6" s="7">
        <v>86.81508848</v>
      </c>
      <c r="BI6" s="7">
        <v>15.39445805</v>
      </c>
      <c r="BJ6" s="7">
        <v>0.0</v>
      </c>
      <c r="BK6" s="7">
        <v>0.0</v>
      </c>
      <c r="BL6" s="7">
        <v>0.0</v>
      </c>
      <c r="BM6" s="7">
        <v>0.0</v>
      </c>
      <c r="BN6" s="7">
        <v>0.0</v>
      </c>
      <c r="BO6" s="7">
        <v>0.0</v>
      </c>
      <c r="BP6" s="7">
        <v>0.0</v>
      </c>
      <c r="BQ6" s="7">
        <v>0.0</v>
      </c>
      <c r="BR6" s="7">
        <v>0.0</v>
      </c>
      <c r="BS6" s="7">
        <v>0.0</v>
      </c>
      <c r="BT6" s="7">
        <v>-15.77178746</v>
      </c>
      <c r="BU6" s="7">
        <v>-1.251685317</v>
      </c>
      <c r="BV6" s="7">
        <v>45.30899098</v>
      </c>
      <c r="BW6" s="7">
        <v>4.962898028</v>
      </c>
      <c r="BX6" s="7">
        <v>5.279840009</v>
      </c>
      <c r="BY6" s="7">
        <v>19.34772572</v>
      </c>
      <c r="BZ6" s="7">
        <v>-13.87162572</v>
      </c>
      <c r="CA6" s="7">
        <v>14.17993113</v>
      </c>
      <c r="CB6" s="7">
        <v>0.0</v>
      </c>
      <c r="CC6" s="7">
        <v>0.0</v>
      </c>
      <c r="CD6" s="7">
        <v>0.0</v>
      </c>
      <c r="CE6" s="7">
        <v>-3.200378515</v>
      </c>
      <c r="CF6" s="7">
        <v>9.579800462</v>
      </c>
      <c r="CG6" s="7">
        <v>0.0</v>
      </c>
      <c r="CH6" s="7">
        <v>0.0</v>
      </c>
      <c r="CI6" s="7">
        <v>-0.1700779171</v>
      </c>
      <c r="CJ6" s="7">
        <v>7.06322543</v>
      </c>
      <c r="CK6" s="7">
        <v>0.0</v>
      </c>
      <c r="CL6" s="7">
        <v>0.0</v>
      </c>
      <c r="CM6" s="7">
        <v>4.115271521</v>
      </c>
      <c r="CN6" s="7">
        <v>6.27027574</v>
      </c>
      <c r="CO6" s="7">
        <v>4.115271521</v>
      </c>
      <c r="CP6" s="7">
        <v>2.799622488</v>
      </c>
      <c r="CQ6" s="7">
        <v>6.459770265</v>
      </c>
      <c r="CR6" s="7">
        <v>1.320836185</v>
      </c>
      <c r="CS6" s="7">
        <v>-0.4724094879</v>
      </c>
      <c r="CT6" s="7">
        <v>0.08734802283</v>
      </c>
      <c r="CU6" s="7">
        <v>0.0</v>
      </c>
      <c r="CV6" s="7">
        <v>0.0</v>
      </c>
      <c r="CW6" s="7">
        <v>0.0</v>
      </c>
      <c r="CX6" s="7">
        <v>278.591616</v>
      </c>
      <c r="CY6" s="7">
        <v>-498.2341392</v>
      </c>
      <c r="CZ6" s="7">
        <v>-529.4300012</v>
      </c>
      <c r="DA6" s="7">
        <v>125.9403209</v>
      </c>
      <c r="DB6" s="7">
        <v>1.062612855</v>
      </c>
      <c r="DC6" s="7">
        <v>0.4520606999</v>
      </c>
      <c r="DD6" s="7">
        <v>3.46729652</v>
      </c>
      <c r="DE6" s="7">
        <v>1.083653023</v>
      </c>
      <c r="DF6" s="7">
        <v>21.0</v>
      </c>
      <c r="DG6" s="7">
        <v>1.162</v>
      </c>
      <c r="DH6" s="7">
        <v>100.0</v>
      </c>
      <c r="DI6" s="7">
        <v>8.82547501</v>
      </c>
      <c r="DJ6" s="7">
        <v>0.1996412798</v>
      </c>
      <c r="DK6" s="7">
        <v>7.115926803</v>
      </c>
      <c r="DL6" s="10">
        <v>5.64E-4</v>
      </c>
      <c r="DM6" s="7">
        <v>0.00501330954</v>
      </c>
      <c r="DN6" s="7">
        <v>0.00265591324</v>
      </c>
      <c r="DO6" s="7">
        <v>0.002256169341</v>
      </c>
      <c r="DP6" s="10">
        <v>1.76E-5</v>
      </c>
      <c r="DQ6" s="7">
        <v>0.01112889524</v>
      </c>
      <c r="DR6" s="11"/>
    </row>
    <row r="7">
      <c r="A7" s="1">
        <v>2.1</v>
      </c>
      <c r="B7" s="1">
        <v>10.41573536</v>
      </c>
      <c r="C7" s="1">
        <v>23.3</v>
      </c>
      <c r="D7" s="1">
        <v>0.0</v>
      </c>
      <c r="E7" s="1" t="s">
        <v>125</v>
      </c>
      <c r="F7" s="1">
        <v>110.569002</v>
      </c>
      <c r="G7" s="1">
        <v>62.73860164</v>
      </c>
      <c r="H7" s="1">
        <v>1.624654136</v>
      </c>
      <c r="I7" s="1">
        <v>0.9964797184</v>
      </c>
      <c r="J7" s="1">
        <v>0.7859075273</v>
      </c>
      <c r="K7" s="1">
        <v>0.4597780364</v>
      </c>
      <c r="L7" s="1">
        <v>1.76237594</v>
      </c>
      <c r="M7" s="1">
        <v>57.43557542</v>
      </c>
      <c r="N7" s="1">
        <v>42.56442458</v>
      </c>
      <c r="O7" s="1">
        <v>1.299990076</v>
      </c>
      <c r="P7" s="1">
        <v>0.1312165462</v>
      </c>
      <c r="Q7" s="1">
        <v>0.2786469311</v>
      </c>
      <c r="R7" s="1">
        <v>0.8108845924</v>
      </c>
      <c r="S7" s="1">
        <v>0.02838633352</v>
      </c>
      <c r="T7" s="1">
        <v>0.2077761057</v>
      </c>
      <c r="U7" s="1">
        <v>53.53592042</v>
      </c>
      <c r="V7" s="7">
        <f t="shared" si="1"/>
        <v>0.8697735453</v>
      </c>
      <c r="W7" s="1">
        <v>32.19156343</v>
      </c>
      <c r="X7" s="7">
        <f t="shared" si="2"/>
        <v>0.5230015667</v>
      </c>
      <c r="Y7" s="1">
        <v>0.1059804504</v>
      </c>
      <c r="Z7" s="2">
        <v>53.07743566</v>
      </c>
      <c r="AA7" s="2">
        <v>13.1771249</v>
      </c>
      <c r="AB7" s="1">
        <v>39.28022904</v>
      </c>
      <c r="AC7" s="1">
        <v>3.98258183</v>
      </c>
      <c r="AD7" s="1">
        <v>2.590143227</v>
      </c>
      <c r="AE7" s="1">
        <v>1.703470786</v>
      </c>
      <c r="AF7" s="1">
        <v>1.18040279</v>
      </c>
      <c r="AG7" s="1">
        <v>2.022634004</v>
      </c>
      <c r="AH7" s="1">
        <v>1.84302713</v>
      </c>
      <c r="AI7" s="1">
        <v>1.193639591</v>
      </c>
      <c r="AJ7" s="1">
        <v>1.67641295</v>
      </c>
      <c r="AK7" s="1">
        <v>2.064676207</v>
      </c>
      <c r="AL7" s="1">
        <v>0.3563823181</v>
      </c>
      <c r="AM7" s="1">
        <v>0.2357344184</v>
      </c>
      <c r="AN7" s="1">
        <v>3.748491242</v>
      </c>
      <c r="AO7" s="1">
        <v>0.3617412235</v>
      </c>
      <c r="AP7" s="1">
        <v>0.2149463216</v>
      </c>
      <c r="AQ7" s="1">
        <v>1.735371264</v>
      </c>
      <c r="AR7" s="1">
        <v>0.0</v>
      </c>
      <c r="AS7" s="1">
        <v>0.0</v>
      </c>
      <c r="AT7" s="2">
        <v>52.96435114</v>
      </c>
      <c r="AU7" s="2">
        <v>30.04318121</v>
      </c>
      <c r="AV7" s="1">
        <v>38.76196919</v>
      </c>
      <c r="AW7" s="1">
        <v>12.89151231</v>
      </c>
      <c r="AX7" s="1">
        <v>0.9146900005</v>
      </c>
      <c r="AY7" s="1">
        <v>0.0</v>
      </c>
      <c r="AZ7" s="1">
        <v>0.0</v>
      </c>
      <c r="BA7" s="1">
        <v>6.378062067</v>
      </c>
      <c r="BB7" s="1">
        <v>16.45688166</v>
      </c>
      <c r="BC7" s="1">
        <v>6.491607226</v>
      </c>
      <c r="BD7" s="1">
        <v>0.0</v>
      </c>
      <c r="BE7" s="1">
        <v>0.0</v>
      </c>
      <c r="BF7" s="1">
        <v>-0.5185103683</v>
      </c>
      <c r="BG7" s="1">
        <v>0.7166302563</v>
      </c>
      <c r="BH7" s="2">
        <v>19.89723467</v>
      </c>
      <c r="BI7" s="2">
        <v>3.230395138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</v>
      </c>
      <c r="BS7" s="1">
        <v>0.0</v>
      </c>
      <c r="BT7" s="1">
        <v>-3.556685709</v>
      </c>
      <c r="BU7" s="1">
        <v>-0.2546888617</v>
      </c>
      <c r="BV7" s="1">
        <v>10.22894322</v>
      </c>
      <c r="BW7" s="1">
        <v>1.230971642</v>
      </c>
      <c r="BX7" s="1">
        <v>0.7193623929</v>
      </c>
      <c r="BY7" s="1">
        <v>3.77355502</v>
      </c>
      <c r="BZ7" s="1">
        <v>-1.601220245</v>
      </c>
      <c r="CA7" s="1">
        <v>3.528368056</v>
      </c>
      <c r="CB7" s="1">
        <v>0.0</v>
      </c>
      <c r="CC7" s="1">
        <v>0.0</v>
      </c>
      <c r="CD7" s="1">
        <v>0.0</v>
      </c>
      <c r="CE7" s="1">
        <v>-0.6901289416</v>
      </c>
      <c r="CF7" s="1">
        <v>2.233183079</v>
      </c>
      <c r="CG7" s="1">
        <v>0.0</v>
      </c>
      <c r="CH7" s="1">
        <v>0.0</v>
      </c>
      <c r="CI7" s="1">
        <v>-0.0252120994</v>
      </c>
      <c r="CJ7" s="1">
        <v>1.568806399</v>
      </c>
      <c r="CK7" s="1">
        <v>0.0</v>
      </c>
      <c r="CL7" s="1">
        <v>0.0</v>
      </c>
      <c r="CM7" s="1">
        <v>1.141244503</v>
      </c>
      <c r="CN7" s="1">
        <v>1.916077416</v>
      </c>
      <c r="CO7" s="1">
        <v>1.141244503</v>
      </c>
      <c r="CP7" s="1">
        <v>0.6520121812</v>
      </c>
      <c r="CQ7" s="1">
        <v>1.414314469</v>
      </c>
      <c r="CR7" s="1">
        <v>0.2281607195</v>
      </c>
      <c r="CS7" s="1">
        <v>-0.1038804399</v>
      </c>
      <c r="CT7" s="1">
        <v>0.04035363187</v>
      </c>
      <c r="CU7" s="1">
        <v>0.0</v>
      </c>
      <c r="CV7" s="1">
        <v>0.0</v>
      </c>
      <c r="CW7" s="1">
        <v>0.0</v>
      </c>
      <c r="CX7" s="1">
        <v>62.73860164</v>
      </c>
      <c r="CY7" s="1">
        <v>-110.569002</v>
      </c>
      <c r="CZ7" s="1">
        <v>-117.1395193</v>
      </c>
      <c r="DA7" s="1">
        <v>27.78077491</v>
      </c>
      <c r="DB7" s="1">
        <v>1.059424587</v>
      </c>
      <c r="DC7" s="1">
        <v>0.4428019463</v>
      </c>
      <c r="DD7" s="1">
        <v>3.46729652</v>
      </c>
      <c r="DE7" s="1">
        <v>1.083653023</v>
      </c>
      <c r="DF7" s="1">
        <v>10.0</v>
      </c>
      <c r="DG7" s="1">
        <v>1.162</v>
      </c>
      <c r="DH7" s="1">
        <v>100.0</v>
      </c>
      <c r="DI7" s="1">
        <v>8.909120831</v>
      </c>
      <c r="DJ7" s="1">
        <v>0.1520699023</v>
      </c>
      <c r="DK7" s="1">
        <v>5.420313349</v>
      </c>
      <c r="DL7" s="4">
        <v>4.6E-4</v>
      </c>
      <c r="DM7" s="1">
        <v>0.001813560858</v>
      </c>
      <c r="DN7" s="1">
        <v>0.001299763558</v>
      </c>
      <c r="DO7" s="1">
        <v>0.00169244725</v>
      </c>
      <c r="DP7" s="4">
        <v>4.45E-5</v>
      </c>
      <c r="DQ7" s="1">
        <v>0.01972971135</v>
      </c>
    </row>
    <row r="8">
      <c r="A8" s="1">
        <v>2.3</v>
      </c>
      <c r="B8" s="1">
        <v>10.41573536</v>
      </c>
      <c r="C8" s="1">
        <v>23.3</v>
      </c>
      <c r="D8" s="1">
        <v>6.0</v>
      </c>
      <c r="E8" s="1" t="s">
        <v>135</v>
      </c>
      <c r="F8" s="1">
        <v>201.2655376</v>
      </c>
      <c r="G8" s="1">
        <v>89.18406957</v>
      </c>
      <c r="H8" s="1">
        <v>2.957310658</v>
      </c>
      <c r="I8" s="1">
        <v>1.305402456</v>
      </c>
      <c r="J8" s="1">
        <v>1.318350722</v>
      </c>
      <c r="K8" s="1">
        <v>0.6021817287</v>
      </c>
      <c r="L8" s="1">
        <v>2.256743144</v>
      </c>
      <c r="M8" s="1">
        <v>58.12697863</v>
      </c>
      <c r="N8" s="1">
        <v>41.87302137</v>
      </c>
      <c r="O8" s="1">
        <v>2.867920893</v>
      </c>
      <c r="P8" s="4">
        <v>3.09E-5</v>
      </c>
      <c r="Q8" s="1">
        <v>0.001938860838</v>
      </c>
      <c r="R8" s="1">
        <v>1.302315666</v>
      </c>
      <c r="S8" s="4">
        <v>3.79E-6</v>
      </c>
      <c r="T8" s="1">
        <v>0.001495267559</v>
      </c>
      <c r="U8" s="1">
        <v>58.17314389</v>
      </c>
      <c r="V8" s="7">
        <f t="shared" si="1"/>
        <v>1.720360584</v>
      </c>
      <c r="W8" s="4">
        <v>2.37E-4</v>
      </c>
      <c r="X8" s="10">
        <f t="shared" si="2"/>
        <v>0.000007008826259</v>
      </c>
      <c r="Y8" s="4">
        <v>2.64E-4</v>
      </c>
      <c r="Z8" s="2">
        <v>79.22967953</v>
      </c>
      <c r="AA8" s="2">
        <v>17.86009185</v>
      </c>
      <c r="AB8" s="1">
        <v>58.81598816</v>
      </c>
      <c r="AC8" s="1">
        <v>5.470536845</v>
      </c>
      <c r="AD8" s="1">
        <v>4.009020534</v>
      </c>
      <c r="AE8" s="1">
        <v>2.274186411</v>
      </c>
      <c r="AF8" s="1">
        <v>1.841377708</v>
      </c>
      <c r="AG8" s="1">
        <v>2.204024273</v>
      </c>
      <c r="AH8" s="1">
        <v>2.574520595</v>
      </c>
      <c r="AI8" s="1">
        <v>1.85076308</v>
      </c>
      <c r="AJ8" s="1">
        <v>2.190276627</v>
      </c>
      <c r="AK8" s="1">
        <v>2.977684809</v>
      </c>
      <c r="AL8" s="1">
        <v>0.4444445118</v>
      </c>
      <c r="AM8" s="1">
        <v>0.3569855532</v>
      </c>
      <c r="AN8" s="1">
        <v>6.017139797</v>
      </c>
      <c r="AO8" s="1">
        <v>0.4074884016</v>
      </c>
      <c r="AP8" s="1">
        <v>0.3191031106</v>
      </c>
      <c r="AQ8" s="1">
        <v>2.35854614</v>
      </c>
      <c r="AR8" s="1">
        <v>0.0</v>
      </c>
      <c r="AS8" s="1">
        <v>0.0</v>
      </c>
      <c r="AT8" s="2">
        <v>82.70367139</v>
      </c>
      <c r="AU8" s="2">
        <v>41.38092685</v>
      </c>
      <c r="AV8" s="1">
        <v>63.13400636</v>
      </c>
      <c r="AW8" s="1">
        <v>17.56757227</v>
      </c>
      <c r="AX8" s="1">
        <v>1.271530674</v>
      </c>
      <c r="AY8" s="1">
        <v>0.0</v>
      </c>
      <c r="AZ8" s="1">
        <v>0.0</v>
      </c>
      <c r="BA8" s="1">
        <v>10.23898837</v>
      </c>
      <c r="BB8" s="1">
        <v>22.26917062</v>
      </c>
      <c r="BC8" s="1">
        <v>7.694211617</v>
      </c>
      <c r="BD8" s="1">
        <v>0.0</v>
      </c>
      <c r="BE8" s="1">
        <v>0.0</v>
      </c>
      <c r="BF8" s="1">
        <v>-0.5409685966</v>
      </c>
      <c r="BG8" s="1">
        <v>1.17855625</v>
      </c>
      <c r="BH8" s="2">
        <v>48.1517047</v>
      </c>
      <c r="BI8" s="2">
        <v>8.403367815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-4.194434014</v>
      </c>
      <c r="BU8" s="1">
        <v>-0.3536536341</v>
      </c>
      <c r="BV8" s="1">
        <v>9.825083572</v>
      </c>
      <c r="BW8" s="1">
        <v>1.164620202</v>
      </c>
      <c r="BX8" s="1">
        <v>0.7236582144</v>
      </c>
      <c r="BY8" s="1">
        <v>3.352698144</v>
      </c>
      <c r="BZ8" s="1">
        <v>9.790623901</v>
      </c>
      <c r="CA8" s="1">
        <v>8.221291471</v>
      </c>
      <c r="CB8" s="1">
        <v>0.0</v>
      </c>
      <c r="CC8" s="1">
        <v>0.0</v>
      </c>
      <c r="CD8" s="1">
        <v>0.0</v>
      </c>
      <c r="CE8" s="1">
        <v>-0.9199781048</v>
      </c>
      <c r="CF8" s="1">
        <v>2.420891384</v>
      </c>
      <c r="CG8" s="1">
        <v>0.0</v>
      </c>
      <c r="CH8" s="1">
        <v>0.0</v>
      </c>
      <c r="CI8" s="1">
        <v>-0.3789947231</v>
      </c>
      <c r="CJ8" s="1">
        <v>1.402531508</v>
      </c>
      <c r="CK8" s="1">
        <v>0.0</v>
      </c>
      <c r="CL8" s="1">
        <v>0.0</v>
      </c>
      <c r="CM8" s="1">
        <v>1.444851346</v>
      </c>
      <c r="CN8" s="1">
        <v>2.745440303</v>
      </c>
      <c r="CO8" s="1">
        <v>1.444851346</v>
      </c>
      <c r="CP8" s="1">
        <v>0.6509931727</v>
      </c>
      <c r="CQ8" s="1">
        <v>1.500312549</v>
      </c>
      <c r="CR8" s="1">
        <v>-0.4929504454</v>
      </c>
      <c r="CS8" s="1">
        <v>0.07600207434</v>
      </c>
      <c r="CT8" s="1">
        <v>0.05318810642</v>
      </c>
      <c r="CU8" s="1">
        <v>0.0</v>
      </c>
      <c r="CV8" s="1">
        <v>0.0</v>
      </c>
      <c r="CW8" s="1">
        <v>0.0</v>
      </c>
      <c r="CX8" s="1">
        <v>89.18406957</v>
      </c>
      <c r="CY8" s="1">
        <v>-201.2655376</v>
      </c>
      <c r="CZ8" s="1">
        <v>-210.4544025</v>
      </c>
      <c r="DA8" s="1">
        <v>36.97080557</v>
      </c>
      <c r="DB8" s="1">
        <v>1.045655431</v>
      </c>
      <c r="DC8" s="1">
        <v>0.414544949</v>
      </c>
      <c r="DD8" s="1">
        <v>3.471235568</v>
      </c>
      <c r="DE8" s="1">
        <v>1.083894109</v>
      </c>
      <c r="DF8" s="1">
        <v>10.41573536</v>
      </c>
      <c r="DG8" s="1">
        <v>1.162</v>
      </c>
      <c r="DH8" s="1">
        <v>100.0</v>
      </c>
      <c r="DI8" s="1">
        <v>59.752</v>
      </c>
      <c r="DJ8" s="1">
        <v>3.80498</v>
      </c>
      <c r="DK8" s="1">
        <v>22.79189351</v>
      </c>
    </row>
    <row r="9">
      <c r="A9" s="1">
        <v>2.5</v>
      </c>
      <c r="B9" s="1">
        <v>10.41573536</v>
      </c>
      <c r="C9" s="1">
        <v>23.3</v>
      </c>
      <c r="D9" s="1">
        <v>-2.0</v>
      </c>
      <c r="E9" s="1" t="s">
        <v>137</v>
      </c>
      <c r="F9" s="1">
        <v>217.6892313</v>
      </c>
      <c r="G9" s="1">
        <v>97.67950018</v>
      </c>
      <c r="H9" s="1">
        <v>3.198633465</v>
      </c>
      <c r="I9" s="1">
        <v>1.429558197</v>
      </c>
      <c r="J9" s="1">
        <v>1.425738092</v>
      </c>
      <c r="K9" s="1">
        <v>0.6593655492</v>
      </c>
      <c r="L9" s="1">
        <v>2.228607138</v>
      </c>
      <c r="M9" s="1">
        <v>55.86826782</v>
      </c>
      <c r="N9" s="1">
        <v>44.13173218</v>
      </c>
      <c r="O9" s="1">
        <v>3.090984558</v>
      </c>
      <c r="P9" s="4">
        <v>3.12E-6</v>
      </c>
      <c r="Q9" s="4">
        <v>5.71E-4</v>
      </c>
      <c r="R9" s="1">
        <v>1.428582085</v>
      </c>
      <c r="S9" s="4">
        <v>1.02E-6</v>
      </c>
      <c r="T9" s="4">
        <v>7.07E-4</v>
      </c>
      <c r="U9" s="1">
        <v>55.86608674</v>
      </c>
      <c r="V9" s="7">
        <f t="shared" si="1"/>
        <v>1.786951346</v>
      </c>
      <c r="W9" s="1">
        <v>0.001179223045</v>
      </c>
      <c r="X9" s="7">
        <f t="shared" si="2"/>
        <v>0.00003771902294</v>
      </c>
      <c r="Y9" s="4">
        <v>6.15E-4</v>
      </c>
      <c r="Z9" s="2">
        <v>81.65892924</v>
      </c>
      <c r="AA9" s="2">
        <v>18.23486609</v>
      </c>
      <c r="AB9" s="1">
        <v>60.68074885</v>
      </c>
      <c r="AC9" s="1">
        <v>5.595103469</v>
      </c>
      <c r="AD9" s="1">
        <v>4.19029887</v>
      </c>
      <c r="AE9" s="1">
        <v>2.315884147</v>
      </c>
      <c r="AF9" s="1">
        <v>1.837251712</v>
      </c>
      <c r="AG9" s="1">
        <v>2.224530877</v>
      </c>
      <c r="AH9" s="1">
        <v>2.64601688</v>
      </c>
      <c r="AI9" s="1">
        <v>1.918876125</v>
      </c>
      <c r="AJ9" s="1">
        <v>2.24557913</v>
      </c>
      <c r="AK9" s="1">
        <v>2.966216186</v>
      </c>
      <c r="AL9" s="1">
        <v>0.4519295313</v>
      </c>
      <c r="AM9" s="1">
        <v>0.3540071814</v>
      </c>
      <c r="AN9" s="1">
        <v>6.23370548</v>
      </c>
      <c r="AO9" s="1">
        <v>0.4411574231</v>
      </c>
      <c r="AP9" s="1">
        <v>0.33117899</v>
      </c>
      <c r="AQ9" s="1">
        <v>2.495094291</v>
      </c>
      <c r="AR9" s="1">
        <v>0.0</v>
      </c>
      <c r="AS9" s="1">
        <v>0.0</v>
      </c>
      <c r="AT9" s="2">
        <v>93.76402123</v>
      </c>
      <c r="AU9" s="2">
        <v>48.43060857</v>
      </c>
      <c r="AV9" s="1">
        <v>69.92592598</v>
      </c>
      <c r="AW9" s="1">
        <v>20.79997178</v>
      </c>
      <c r="AX9" s="1">
        <v>1.753148326</v>
      </c>
      <c r="AY9" s="1">
        <v>0.0</v>
      </c>
      <c r="AZ9" s="1">
        <v>0.0</v>
      </c>
      <c r="BA9" s="1">
        <v>12.63108088</v>
      </c>
      <c r="BB9" s="1">
        <v>26.00494301</v>
      </c>
      <c r="BC9" s="1">
        <v>8.382348902</v>
      </c>
      <c r="BD9" s="1">
        <v>0.0</v>
      </c>
      <c r="BE9" s="1">
        <v>0.0</v>
      </c>
      <c r="BF9" s="1">
        <v>-0.468173188</v>
      </c>
      <c r="BG9" s="1">
        <v>1.412235769</v>
      </c>
      <c r="BH9" s="2">
        <v>52.20739125</v>
      </c>
      <c r="BI9" s="2">
        <v>9.206474204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-4.387426587</v>
      </c>
      <c r="BU9" s="1">
        <v>-0.4166190979</v>
      </c>
      <c r="BV9" s="1">
        <v>11.56192114</v>
      </c>
      <c r="BW9" s="1">
        <v>1.484042225</v>
      </c>
      <c r="BX9" s="1">
        <v>0.5748919258</v>
      </c>
      <c r="BY9" s="1">
        <v>3.16038396</v>
      </c>
      <c r="BZ9" s="1">
        <v>12.05339803</v>
      </c>
      <c r="CA9" s="1">
        <v>8.905582516</v>
      </c>
      <c r="CB9" s="1">
        <v>0.0</v>
      </c>
      <c r="CC9" s="1">
        <v>0.0</v>
      </c>
      <c r="CD9" s="1">
        <v>0.0</v>
      </c>
      <c r="CE9" s="1">
        <v>-0.9505146995</v>
      </c>
      <c r="CF9" s="1">
        <v>2.394636808</v>
      </c>
      <c r="CG9" s="1">
        <v>0.0</v>
      </c>
      <c r="CH9" s="1">
        <v>0.0</v>
      </c>
      <c r="CI9" s="1">
        <v>-0.5026901682</v>
      </c>
      <c r="CJ9" s="1">
        <v>1.501268488</v>
      </c>
      <c r="CK9" s="1">
        <v>0.0</v>
      </c>
      <c r="CL9" s="1">
        <v>0.0</v>
      </c>
      <c r="CM9" s="1">
        <v>1.672967491</v>
      </c>
      <c r="CN9" s="1">
        <v>2.305357453</v>
      </c>
      <c r="CO9" s="1">
        <v>1.672967491</v>
      </c>
      <c r="CP9" s="1">
        <v>0.5913923354</v>
      </c>
      <c r="CQ9" s="1">
        <v>1.415991628</v>
      </c>
      <c r="CR9" s="1">
        <v>0.2823470706</v>
      </c>
      <c r="CS9" s="1">
        <v>-0.08737344415</v>
      </c>
      <c r="CT9" s="1">
        <v>0.06101288516</v>
      </c>
      <c r="CU9" s="1">
        <v>0.0</v>
      </c>
      <c r="CV9" s="1">
        <v>0.0</v>
      </c>
      <c r="CW9" s="1">
        <v>0.0</v>
      </c>
      <c r="CX9" s="1">
        <v>97.67950018</v>
      </c>
      <c r="CY9" s="1">
        <v>-217.6892313</v>
      </c>
      <c r="CZ9" s="1">
        <v>-237.4196145</v>
      </c>
      <c r="DA9" s="1">
        <v>42.10566129</v>
      </c>
      <c r="DB9" s="1">
        <v>1.09063555</v>
      </c>
      <c r="DC9" s="1">
        <v>0.4310593442</v>
      </c>
      <c r="DD9" s="1">
        <v>3.471187735</v>
      </c>
      <c r="DE9" s="1">
        <v>1.084040711</v>
      </c>
      <c r="DF9" s="1">
        <v>10.41573536</v>
      </c>
      <c r="DG9" s="1">
        <v>1.162</v>
      </c>
      <c r="DH9" s="1">
        <v>100.0</v>
      </c>
      <c r="DI9" s="1">
        <v>44.43</v>
      </c>
      <c r="DJ9" s="1">
        <v>9.613893333</v>
      </c>
      <c r="DK9" s="1">
        <v>23.073344</v>
      </c>
    </row>
    <row r="10">
      <c r="A10" s="1">
        <v>2.7</v>
      </c>
      <c r="B10" s="1">
        <v>10.41573536</v>
      </c>
      <c r="C10" s="1">
        <v>23.3</v>
      </c>
      <c r="D10" s="1">
        <v>-6.0</v>
      </c>
      <c r="E10" s="1" t="s">
        <v>135</v>
      </c>
      <c r="F10" s="1">
        <v>203.1387744</v>
      </c>
      <c r="G10" s="1">
        <v>91.42176994</v>
      </c>
      <c r="H10" s="1">
        <v>2.984835207</v>
      </c>
      <c r="I10" s="1">
        <v>1.337997078</v>
      </c>
      <c r="J10" s="1">
        <v>1.330462947</v>
      </c>
      <c r="K10" s="1">
        <v>0.6171443054</v>
      </c>
      <c r="L10" s="1">
        <v>2.221995642</v>
      </c>
      <c r="M10" s="1">
        <v>57.79807373</v>
      </c>
      <c r="N10" s="1">
        <v>42.20192627</v>
      </c>
      <c r="O10" s="1">
        <v>2.891524011</v>
      </c>
      <c r="P10" s="4">
        <v>5.97E-6</v>
      </c>
      <c r="Q10" s="4">
        <v>8.45E-4</v>
      </c>
      <c r="R10" s="1">
        <v>1.337827459</v>
      </c>
      <c r="S10" s="4">
        <v>6.67E-7</v>
      </c>
      <c r="T10" s="4">
        <v>6.11E-4</v>
      </c>
      <c r="U10" s="1">
        <v>57.81539538</v>
      </c>
      <c r="V10" s="7">
        <f t="shared" si="1"/>
        <v>1.725694276</v>
      </c>
      <c r="W10" s="4">
        <v>4.11E-4</v>
      </c>
      <c r="X10" s="10">
        <f t="shared" si="2"/>
        <v>0.0000122676727</v>
      </c>
      <c r="Y10" s="4">
        <v>3.51E-4</v>
      </c>
      <c r="Z10" s="2">
        <v>80.07001016</v>
      </c>
      <c r="AA10" s="2">
        <v>17.97229511</v>
      </c>
      <c r="AB10" s="1">
        <v>59.48723909</v>
      </c>
      <c r="AC10" s="1">
        <v>5.49175466</v>
      </c>
      <c r="AD10" s="1">
        <v>4.053644891</v>
      </c>
      <c r="AE10" s="1">
        <v>2.28331269</v>
      </c>
      <c r="AF10" s="1">
        <v>1.847518163</v>
      </c>
      <c r="AG10" s="1">
        <v>2.204186474</v>
      </c>
      <c r="AH10" s="1">
        <v>2.589117215</v>
      </c>
      <c r="AI10" s="1">
        <v>1.86612106</v>
      </c>
      <c r="AJ10" s="1">
        <v>2.198380984</v>
      </c>
      <c r="AK10" s="1">
        <v>2.990881424</v>
      </c>
      <c r="AL10" s="1">
        <v>0.4383585966</v>
      </c>
      <c r="AM10" s="1">
        <v>0.3552388684</v>
      </c>
      <c r="AN10" s="1">
        <v>6.112943195</v>
      </c>
      <c r="AO10" s="1">
        <v>0.4119432441</v>
      </c>
      <c r="AP10" s="1">
        <v>0.3248335086</v>
      </c>
      <c r="AQ10" s="1">
        <v>2.395949772</v>
      </c>
      <c r="AR10" s="1">
        <v>0.0</v>
      </c>
      <c r="AS10" s="1">
        <v>0.0</v>
      </c>
      <c r="AT10" s="2">
        <v>85.17854763</v>
      </c>
      <c r="AU10" s="2">
        <v>44.01978348</v>
      </c>
      <c r="AV10" s="1">
        <v>64.18454182</v>
      </c>
      <c r="AW10" s="1">
        <v>18.93796317</v>
      </c>
      <c r="AX10" s="1">
        <v>1.340119465</v>
      </c>
      <c r="AY10" s="1">
        <v>0.0</v>
      </c>
      <c r="AZ10" s="1">
        <v>0.0</v>
      </c>
      <c r="BA10" s="1">
        <v>11.25152856</v>
      </c>
      <c r="BB10" s="1">
        <v>23.84539344</v>
      </c>
      <c r="BC10" s="1">
        <v>7.720098308</v>
      </c>
      <c r="BD10" s="1">
        <v>0.0</v>
      </c>
      <c r="BE10" s="1">
        <v>0.0</v>
      </c>
      <c r="BF10" s="1">
        <v>-0.624196294</v>
      </c>
      <c r="BG10" s="1">
        <v>1.202763164</v>
      </c>
      <c r="BH10" s="2">
        <v>45.98728597</v>
      </c>
      <c r="BI10" s="2">
        <v>8.111726566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-4.231467097</v>
      </c>
      <c r="BU10" s="1">
        <v>-0.3771379337</v>
      </c>
      <c r="BV10" s="1">
        <v>8.76719836</v>
      </c>
      <c r="BW10" s="1">
        <v>1.245695161</v>
      </c>
      <c r="BX10" s="1">
        <v>0.3702249013</v>
      </c>
      <c r="BY10" s="1">
        <v>2.928421969</v>
      </c>
      <c r="BZ10" s="1">
        <v>11.45246721</v>
      </c>
      <c r="CA10" s="1">
        <v>8.942680244</v>
      </c>
      <c r="CB10" s="1">
        <v>0.0</v>
      </c>
      <c r="CC10" s="1">
        <v>0.0</v>
      </c>
      <c r="CD10" s="1">
        <v>0.0</v>
      </c>
      <c r="CE10" s="1">
        <v>-0.9654843953</v>
      </c>
      <c r="CF10" s="1">
        <v>2.438989263</v>
      </c>
      <c r="CG10" s="1">
        <v>0.0</v>
      </c>
      <c r="CH10" s="1">
        <v>0.0</v>
      </c>
      <c r="CI10" s="1">
        <v>-0.4101257763</v>
      </c>
      <c r="CJ10" s="1">
        <v>1.399869105</v>
      </c>
      <c r="CK10" s="1">
        <v>0.0</v>
      </c>
      <c r="CL10" s="1">
        <v>0.0</v>
      </c>
      <c r="CM10" s="1">
        <v>1.603669435</v>
      </c>
      <c r="CN10" s="1">
        <v>2.529775992</v>
      </c>
      <c r="CO10" s="1">
        <v>1.603669435</v>
      </c>
      <c r="CP10" s="1">
        <v>0.5423135212</v>
      </c>
      <c r="CQ10" s="1">
        <v>1.420626004</v>
      </c>
      <c r="CR10" s="1">
        <v>0.5541119466</v>
      </c>
      <c r="CS10" s="1">
        <v>-0.1714920741</v>
      </c>
      <c r="CT10" s="1">
        <v>0.05791788275</v>
      </c>
      <c r="CU10" s="1">
        <v>0.0</v>
      </c>
      <c r="CV10" s="1">
        <v>0.0</v>
      </c>
      <c r="CW10" s="1">
        <v>0.0</v>
      </c>
      <c r="CX10" s="1">
        <v>91.42176994</v>
      </c>
      <c r="CY10" s="1">
        <v>-203.1387744</v>
      </c>
      <c r="CZ10" s="1">
        <v>-213.7437034</v>
      </c>
      <c r="DA10" s="1">
        <v>38.75583626</v>
      </c>
      <c r="DB10" s="1">
        <v>1.052205341</v>
      </c>
      <c r="DC10" s="1">
        <v>0.4239234953</v>
      </c>
      <c r="DD10" s="1">
        <v>3.471128038</v>
      </c>
      <c r="DE10" s="1">
        <v>1.084022866</v>
      </c>
      <c r="DF10" s="1">
        <v>10.41573536</v>
      </c>
      <c r="DG10" s="1">
        <v>1.162</v>
      </c>
      <c r="DH10" s="1">
        <v>100.0</v>
      </c>
      <c r="DI10" s="1">
        <v>42.065</v>
      </c>
      <c r="DJ10" s="1">
        <v>6.408478889</v>
      </c>
      <c r="DK10" s="1">
        <v>23.070524</v>
      </c>
    </row>
    <row r="11">
      <c r="A11" s="1">
        <v>2.8</v>
      </c>
      <c r="B11" s="1">
        <v>10.41573536</v>
      </c>
      <c r="C11" s="1">
        <v>23.3</v>
      </c>
      <c r="D11" s="1">
        <v>-8.0</v>
      </c>
      <c r="E11" s="1" t="s">
        <v>135</v>
      </c>
      <c r="F11" s="1">
        <v>195.7050623</v>
      </c>
      <c r="G11" s="1">
        <v>87.29811182</v>
      </c>
      <c r="H11" s="1">
        <v>2.875607387</v>
      </c>
      <c r="I11" s="1">
        <v>1.281634659</v>
      </c>
      <c r="J11" s="1">
        <v>1.285777569</v>
      </c>
      <c r="K11" s="1">
        <v>0.5912027353</v>
      </c>
      <c r="L11" s="1">
        <v>2.241801778</v>
      </c>
      <c r="M11" s="1">
        <v>59.03937431</v>
      </c>
      <c r="N11" s="1">
        <v>40.96062569</v>
      </c>
      <c r="O11" s="1">
        <v>2.771948657</v>
      </c>
      <c r="P11" s="4">
        <v>9.18E-5</v>
      </c>
      <c r="Q11" s="1">
        <v>0.003456105391</v>
      </c>
      <c r="R11" s="1">
        <v>1.276638302</v>
      </c>
      <c r="S11" s="4">
        <v>1.47E-5</v>
      </c>
      <c r="T11" s="1">
        <v>0.0030051501</v>
      </c>
      <c r="U11" s="1">
        <v>59.1435852</v>
      </c>
      <c r="V11" s="7">
        <f t="shared" si="1"/>
        <v>1.700737305</v>
      </c>
      <c r="W11" s="1">
        <v>0.006999115559</v>
      </c>
      <c r="X11" s="7">
        <f t="shared" si="2"/>
        <v>0.000201267084</v>
      </c>
      <c r="Y11" s="1">
        <v>0.001414535772</v>
      </c>
      <c r="Z11" s="2">
        <v>77.94872537</v>
      </c>
      <c r="AA11" s="2">
        <v>17.68164946</v>
      </c>
      <c r="AB11" s="1">
        <v>57.8643356</v>
      </c>
      <c r="AC11" s="1">
        <v>5.465885917</v>
      </c>
      <c r="AD11" s="1">
        <v>3.886900391</v>
      </c>
      <c r="AE11" s="1">
        <v>2.230160983</v>
      </c>
      <c r="AF11" s="1">
        <v>1.828356293</v>
      </c>
      <c r="AG11" s="1">
        <v>2.169826849</v>
      </c>
      <c r="AH11" s="1">
        <v>2.574858684</v>
      </c>
      <c r="AI11" s="1">
        <v>1.792132337</v>
      </c>
      <c r="AJ11" s="1">
        <v>2.163029758</v>
      </c>
      <c r="AK11" s="1">
        <v>2.972938087</v>
      </c>
      <c r="AL11" s="1">
        <v>0.4617742245</v>
      </c>
      <c r="AM11" s="1">
        <v>0.3640962555</v>
      </c>
      <c r="AN11" s="1">
        <v>5.847215703</v>
      </c>
      <c r="AO11" s="1">
        <v>0.430890305</v>
      </c>
      <c r="AP11" s="1">
        <v>0.3059731453</v>
      </c>
      <c r="AQ11" s="1">
        <v>2.299062207</v>
      </c>
      <c r="AR11" s="1">
        <v>0.0</v>
      </c>
      <c r="AS11" s="1">
        <v>0.0</v>
      </c>
      <c r="AT11" s="2">
        <v>79.34498126</v>
      </c>
      <c r="AU11" s="2">
        <v>40.40654338</v>
      </c>
      <c r="AV11" s="1">
        <v>60.10449278</v>
      </c>
      <c r="AW11" s="1">
        <v>17.40194492</v>
      </c>
      <c r="AX11" s="1">
        <v>1.22968491</v>
      </c>
      <c r="AY11" s="1">
        <v>0.0</v>
      </c>
      <c r="AZ11" s="1">
        <v>0.0</v>
      </c>
      <c r="BA11" s="1">
        <v>10.12507423</v>
      </c>
      <c r="BB11" s="1">
        <v>21.85224552</v>
      </c>
      <c r="BC11" s="1">
        <v>7.464120925</v>
      </c>
      <c r="BD11" s="1">
        <v>0.0</v>
      </c>
      <c r="BE11" s="1">
        <v>0.0</v>
      </c>
      <c r="BF11" s="1">
        <v>-0.62082626</v>
      </c>
      <c r="BG11" s="1">
        <v>0.9651027131</v>
      </c>
      <c r="BH11" s="2">
        <v>44.19101398</v>
      </c>
      <c r="BI11" s="2">
        <v>7.721234207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  <c r="BO11" s="1">
        <v>0.0</v>
      </c>
      <c r="BP11" s="1">
        <v>0.0</v>
      </c>
      <c r="BQ11" s="1">
        <v>0.0</v>
      </c>
      <c r="BR11" s="1">
        <v>0.0</v>
      </c>
      <c r="BS11" s="1">
        <v>0.0</v>
      </c>
      <c r="BT11" s="1">
        <v>-4.124793209</v>
      </c>
      <c r="BU11" s="1">
        <v>-0.3378061789</v>
      </c>
      <c r="BV11" s="1">
        <v>7.749040262</v>
      </c>
      <c r="BW11" s="1">
        <v>0.8773685663</v>
      </c>
      <c r="BX11" s="1">
        <v>0.2766098552</v>
      </c>
      <c r="BY11" s="1">
        <v>3.238923259</v>
      </c>
      <c r="BZ11" s="1">
        <v>10.77556927</v>
      </c>
      <c r="CA11" s="1">
        <v>8.563826168</v>
      </c>
      <c r="CB11" s="1">
        <v>0.0</v>
      </c>
      <c r="CC11" s="1">
        <v>0.0</v>
      </c>
      <c r="CD11" s="1">
        <v>0.0</v>
      </c>
      <c r="CE11" s="1">
        <v>-0.9081103282</v>
      </c>
      <c r="CF11" s="1">
        <v>2.430347239</v>
      </c>
      <c r="CG11" s="1">
        <v>0.0</v>
      </c>
      <c r="CH11" s="1">
        <v>0.0</v>
      </c>
      <c r="CI11" s="1">
        <v>-0.3616956793</v>
      </c>
      <c r="CJ11" s="1">
        <v>1.334429349</v>
      </c>
      <c r="CK11" s="1">
        <v>0.0</v>
      </c>
      <c r="CL11" s="1">
        <v>0.0</v>
      </c>
      <c r="CM11" s="1">
        <v>1.704467459</v>
      </c>
      <c r="CN11" s="1">
        <v>2.873265609</v>
      </c>
      <c r="CO11" s="1">
        <v>1.704467459</v>
      </c>
      <c r="CP11" s="1">
        <v>0.5830738798</v>
      </c>
      <c r="CQ11" s="1">
        <v>1.529754195</v>
      </c>
      <c r="CR11" s="1">
        <v>0.6598695491</v>
      </c>
      <c r="CS11" s="1">
        <v>-0.1754644597</v>
      </c>
      <c r="CT11" s="1">
        <v>0.05825779972</v>
      </c>
      <c r="CU11" s="1">
        <v>0.0</v>
      </c>
      <c r="CV11" s="1">
        <v>0.0</v>
      </c>
      <c r="CW11" s="1">
        <v>0.0</v>
      </c>
      <c r="CX11" s="1">
        <v>87.29811182</v>
      </c>
      <c r="CY11" s="1">
        <v>-195.7050623</v>
      </c>
      <c r="CZ11" s="1">
        <v>-201.0844139</v>
      </c>
      <c r="DA11" s="1">
        <v>36.10923105</v>
      </c>
      <c r="DB11" s="1">
        <v>1.027487034</v>
      </c>
      <c r="DC11" s="1">
        <v>0.4136312951</v>
      </c>
      <c r="DD11" s="1">
        <v>3.471130814</v>
      </c>
      <c r="DE11" s="1">
        <v>1.083921456</v>
      </c>
      <c r="DF11" s="1">
        <v>10.4</v>
      </c>
      <c r="DG11" s="1">
        <v>1.162</v>
      </c>
      <c r="DH11" s="1">
        <v>100.0</v>
      </c>
      <c r="DI11" s="1">
        <v>378.264</v>
      </c>
      <c r="DJ11" s="1">
        <v>65.28538333</v>
      </c>
      <c r="DK11" s="1">
        <v>417.4553819</v>
      </c>
    </row>
    <row r="12">
      <c r="A12" s="1">
        <v>3.1</v>
      </c>
      <c r="B12" s="1">
        <v>15.55654895</v>
      </c>
      <c r="C12" s="1">
        <v>34.8</v>
      </c>
      <c r="D12" s="1">
        <v>-8.0</v>
      </c>
      <c r="E12" s="1" t="s">
        <v>135</v>
      </c>
      <c r="F12" s="1">
        <v>438.0410244</v>
      </c>
      <c r="G12" s="1">
        <v>193.6042779</v>
      </c>
      <c r="H12" s="1">
        <v>2.885331193</v>
      </c>
      <c r="I12" s="1">
        <v>1.270323922</v>
      </c>
      <c r="J12" s="1">
        <v>1.286230335</v>
      </c>
      <c r="K12" s="1">
        <v>0.5859852277</v>
      </c>
      <c r="L12" s="1">
        <v>2.262558602</v>
      </c>
      <c r="M12" s="1">
        <v>59.720403</v>
      </c>
      <c r="N12" s="1">
        <v>40.279597</v>
      </c>
      <c r="O12" s="1">
        <v>2.777209531</v>
      </c>
      <c r="P12" s="4">
        <v>2.59E-4</v>
      </c>
      <c r="Q12" s="1">
        <v>0.00579739447</v>
      </c>
      <c r="R12" s="1">
        <v>1.263728635</v>
      </c>
      <c r="S12" s="4">
        <v>4.19E-5</v>
      </c>
      <c r="T12" s="1">
        <v>0.005121491925</v>
      </c>
      <c r="U12" s="1">
        <v>59.98995681</v>
      </c>
      <c r="V12" s="7">
        <f t="shared" si="1"/>
        <v>1.730908937</v>
      </c>
      <c r="W12" s="1">
        <v>0.05457402383</v>
      </c>
      <c r="X12" s="7">
        <f t="shared" si="2"/>
        <v>0.001574641333</v>
      </c>
      <c r="Y12" s="1">
        <v>0.003894165805</v>
      </c>
      <c r="Z12" s="2">
        <v>177.7796934</v>
      </c>
      <c r="AA12" s="2">
        <v>39.84610027</v>
      </c>
      <c r="AB12" s="1">
        <v>132.0901154</v>
      </c>
      <c r="AC12" s="1">
        <v>12.31316644</v>
      </c>
      <c r="AD12" s="1">
        <v>8.901830239</v>
      </c>
      <c r="AE12" s="1">
        <v>5.047596349</v>
      </c>
      <c r="AF12" s="1">
        <v>4.241120163</v>
      </c>
      <c r="AG12" s="1">
        <v>4.638752485</v>
      </c>
      <c r="AH12" s="1">
        <v>5.799856211</v>
      </c>
      <c r="AI12" s="1">
        <v>4.094182909</v>
      </c>
      <c r="AJ12" s="1">
        <v>4.879710698</v>
      </c>
      <c r="AK12" s="1">
        <v>6.849382871</v>
      </c>
      <c r="AL12" s="1">
        <v>1.040733408</v>
      </c>
      <c r="AM12" s="1">
        <v>0.8247229793</v>
      </c>
      <c r="AN12" s="1">
        <v>13.32040841</v>
      </c>
      <c r="AO12" s="1">
        <v>0.9621244711</v>
      </c>
      <c r="AP12" s="1">
        <v>0.6812564074</v>
      </c>
      <c r="AQ12" s="1">
        <v>5.091451348</v>
      </c>
      <c r="AR12" s="1">
        <v>0.0</v>
      </c>
      <c r="AS12" s="1">
        <v>0.0</v>
      </c>
      <c r="AT12" s="2">
        <v>176.7263981</v>
      </c>
      <c r="AU12" s="2">
        <v>90.29134325</v>
      </c>
      <c r="AV12" s="1">
        <v>133.6328596</v>
      </c>
      <c r="AW12" s="1">
        <v>38.79226741</v>
      </c>
      <c r="AX12" s="1">
        <v>2.850838388</v>
      </c>
      <c r="AY12" s="1">
        <v>0.0</v>
      </c>
      <c r="AZ12" s="1">
        <v>0.0</v>
      </c>
      <c r="BA12" s="1">
        <v>22.20126305</v>
      </c>
      <c r="BB12" s="1">
        <v>48.92322191</v>
      </c>
      <c r="BC12" s="1">
        <v>17.05933715</v>
      </c>
      <c r="BD12" s="1">
        <v>0.0</v>
      </c>
      <c r="BE12" s="1">
        <v>0.0</v>
      </c>
      <c r="BF12" s="1">
        <v>-1.400405593</v>
      </c>
      <c r="BG12" s="1">
        <v>2.10752114</v>
      </c>
      <c r="BH12" s="2">
        <v>99.46756868</v>
      </c>
      <c r="BI12" s="2">
        <v>17.16211749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0.0</v>
      </c>
      <c r="BR12" s="1">
        <v>0.0</v>
      </c>
      <c r="BS12" s="1">
        <v>0.0</v>
      </c>
      <c r="BT12" s="1">
        <v>-9.461365144</v>
      </c>
      <c r="BU12" s="1">
        <v>-0.8454730889</v>
      </c>
      <c r="BV12" s="1">
        <v>17.0123693</v>
      </c>
      <c r="BW12" s="1">
        <v>1.817843823</v>
      </c>
      <c r="BX12" s="1">
        <v>0.2895013497</v>
      </c>
      <c r="BY12" s="1">
        <v>6.731704704</v>
      </c>
      <c r="BZ12" s="1">
        <v>22.27860214</v>
      </c>
      <c r="CA12" s="1">
        <v>19.36543083</v>
      </c>
      <c r="CB12" s="1">
        <v>0.0</v>
      </c>
      <c r="CC12" s="1">
        <v>0.0</v>
      </c>
      <c r="CD12" s="1">
        <v>0.0</v>
      </c>
      <c r="CE12" s="1">
        <v>-1.870832399</v>
      </c>
      <c r="CF12" s="1">
        <v>5.090917656</v>
      </c>
      <c r="CG12" s="1">
        <v>0.0</v>
      </c>
      <c r="CH12" s="1">
        <v>0.0</v>
      </c>
      <c r="CI12" s="1">
        <v>-0.769979801</v>
      </c>
      <c r="CJ12" s="1">
        <v>2.943866394</v>
      </c>
      <c r="CK12" s="1">
        <v>0.0</v>
      </c>
      <c r="CL12" s="1">
        <v>0.0</v>
      </c>
      <c r="CM12" s="1">
        <v>3.581474439</v>
      </c>
      <c r="CN12" s="1">
        <v>6.109884352</v>
      </c>
      <c r="CO12" s="1">
        <v>3.581474439</v>
      </c>
      <c r="CP12" s="1">
        <v>1.228157978</v>
      </c>
      <c r="CQ12" s="1">
        <v>3.438011818</v>
      </c>
      <c r="CR12" s="1">
        <v>1.444584269</v>
      </c>
      <c r="CS12" s="1">
        <v>-0.4388729624</v>
      </c>
      <c r="CT12" s="1">
        <v>0.08873697335</v>
      </c>
      <c r="CU12" s="1">
        <v>0.0</v>
      </c>
      <c r="CV12" s="1">
        <v>0.0</v>
      </c>
      <c r="CW12" s="1">
        <v>0.0</v>
      </c>
      <c r="CX12" s="1">
        <v>193.6042779</v>
      </c>
      <c r="CY12" s="1">
        <v>-438.0410244</v>
      </c>
      <c r="CZ12" s="1">
        <v>-444.1408507</v>
      </c>
      <c r="DA12" s="1">
        <v>80.80341163</v>
      </c>
      <c r="DB12" s="1">
        <v>1.01392524</v>
      </c>
      <c r="DC12" s="1">
        <v>0.4173637716</v>
      </c>
      <c r="DD12" s="1">
        <v>3.471130814</v>
      </c>
      <c r="DE12" s="1">
        <v>1.083921456</v>
      </c>
      <c r="DF12" s="1">
        <v>15.55654895</v>
      </c>
      <c r="DG12" s="1">
        <v>1.162</v>
      </c>
      <c r="DH12" s="1">
        <v>100.0</v>
      </c>
      <c r="DI12" s="1">
        <v>662.161</v>
      </c>
      <c r="DJ12" s="1">
        <v>98.43703556</v>
      </c>
      <c r="DK12" s="1">
        <v>558.0682331</v>
      </c>
    </row>
    <row r="13">
      <c r="A13" s="1">
        <v>3.2</v>
      </c>
      <c r="B13" s="1">
        <v>15.55654895</v>
      </c>
      <c r="C13" s="1">
        <v>34.8</v>
      </c>
      <c r="D13" s="1">
        <v>-6.0</v>
      </c>
      <c r="E13" s="1" t="s">
        <v>138</v>
      </c>
      <c r="F13" s="1">
        <v>463.0491947</v>
      </c>
      <c r="G13" s="1">
        <v>200.6650342</v>
      </c>
      <c r="H13" s="1">
        <v>3.05005744</v>
      </c>
      <c r="I13" s="1">
        <v>1.317631939</v>
      </c>
      <c r="J13" s="1">
        <v>1.360673581</v>
      </c>
      <c r="K13" s="1">
        <v>0.6077478785</v>
      </c>
      <c r="L13" s="1">
        <v>2.307572899</v>
      </c>
      <c r="M13" s="1">
        <v>58.06107295</v>
      </c>
      <c r="N13" s="1">
        <v>41.93892705</v>
      </c>
      <c r="O13" s="1">
        <v>2.929842417</v>
      </c>
      <c r="P13" s="4">
        <v>2.09E-4</v>
      </c>
      <c r="Q13" s="1">
        <v>0.004938563015</v>
      </c>
      <c r="R13" s="1">
        <v>1.31248043</v>
      </c>
      <c r="S13" s="4">
        <v>1.57E-5</v>
      </c>
      <c r="T13" s="1">
        <v>0.003015869476</v>
      </c>
      <c r="U13" s="1">
        <v>57.96111672</v>
      </c>
      <c r="V13" s="7">
        <f t="shared" si="1"/>
        <v>1.767847353</v>
      </c>
      <c r="W13" s="1">
        <v>0.005249856661</v>
      </c>
      <c r="X13" s="7">
        <f t="shared" si="2"/>
        <v>0.0001601236437</v>
      </c>
      <c r="Y13" s="1">
        <v>0.001250077616</v>
      </c>
      <c r="Z13" s="2">
        <v>181.145476</v>
      </c>
      <c r="AA13" s="2">
        <v>40.43747897</v>
      </c>
      <c r="AB13" s="1">
        <v>134.5254192</v>
      </c>
      <c r="AC13" s="1">
        <v>12.3674704</v>
      </c>
      <c r="AD13" s="1">
        <v>9.129056497</v>
      </c>
      <c r="AE13" s="1">
        <v>5.171608354</v>
      </c>
      <c r="AF13" s="1">
        <v>4.275621376</v>
      </c>
      <c r="AG13" s="1">
        <v>4.781048611</v>
      </c>
      <c r="AH13" s="1">
        <v>5.821411322</v>
      </c>
      <c r="AI13" s="1">
        <v>4.209923303</v>
      </c>
      <c r="AJ13" s="1">
        <v>4.963138872</v>
      </c>
      <c r="AK13" s="1">
        <v>6.865814092</v>
      </c>
      <c r="AL13" s="1">
        <v>1.018184237</v>
      </c>
      <c r="AM13" s="1">
        <v>0.8303502287</v>
      </c>
      <c r="AN13" s="1">
        <v>13.82776569</v>
      </c>
      <c r="AO13" s="1">
        <v>0.9110284178</v>
      </c>
      <c r="AP13" s="1">
        <v>0.7113595738</v>
      </c>
      <c r="AQ13" s="1">
        <v>5.307940688</v>
      </c>
      <c r="AR13" s="1">
        <v>0.0</v>
      </c>
      <c r="AS13" s="1">
        <v>0.0</v>
      </c>
      <c r="AT13" s="2">
        <v>189.181539</v>
      </c>
      <c r="AU13" s="2">
        <v>96.65091747</v>
      </c>
      <c r="AV13" s="1">
        <v>143.2747662</v>
      </c>
      <c r="AW13" s="1">
        <v>41.30989549</v>
      </c>
      <c r="AX13" s="1">
        <v>3.00362133</v>
      </c>
      <c r="AY13" s="1">
        <v>0.0</v>
      </c>
      <c r="AZ13" s="1">
        <v>0.0</v>
      </c>
      <c r="BA13" s="1">
        <v>24.69455656</v>
      </c>
      <c r="BB13" s="1">
        <v>51.90233854</v>
      </c>
      <c r="BC13" s="1">
        <v>17.55391114</v>
      </c>
      <c r="BD13" s="1">
        <v>0.0</v>
      </c>
      <c r="BE13" s="1">
        <v>0.0</v>
      </c>
      <c r="BF13" s="1">
        <v>-1.410365316</v>
      </c>
      <c r="BG13" s="1">
        <v>2.50011122</v>
      </c>
      <c r="BH13" s="2">
        <v>102.8065053</v>
      </c>
      <c r="BI13" s="2">
        <v>18.11355751</v>
      </c>
      <c r="BJ13" s="1">
        <v>0.0</v>
      </c>
      <c r="BK13" s="1">
        <v>0.0</v>
      </c>
      <c r="BL13" s="1">
        <v>0.0</v>
      </c>
      <c r="BM13" s="1">
        <v>0.0</v>
      </c>
      <c r="BN13" s="1">
        <v>0.0</v>
      </c>
      <c r="BO13" s="1">
        <v>0.0</v>
      </c>
      <c r="BP13" s="1">
        <v>0.0</v>
      </c>
      <c r="BQ13" s="1">
        <v>0.0</v>
      </c>
      <c r="BR13" s="1">
        <v>0.0</v>
      </c>
      <c r="BS13" s="1">
        <v>0.0</v>
      </c>
      <c r="BT13" s="1">
        <v>-9.491059673</v>
      </c>
      <c r="BU13" s="1">
        <v>-0.8611513483</v>
      </c>
      <c r="BV13" s="1">
        <v>20.96405803</v>
      </c>
      <c r="BW13" s="1">
        <v>2.826899584</v>
      </c>
      <c r="BX13" s="1">
        <v>0.8213127719</v>
      </c>
      <c r="BY13" s="1">
        <v>7.744770036</v>
      </c>
      <c r="BZ13" s="1">
        <v>24.56815208</v>
      </c>
      <c r="CA13" s="1">
        <v>17.94147719</v>
      </c>
      <c r="CB13" s="1">
        <v>0.0</v>
      </c>
      <c r="CC13" s="1">
        <v>0.0</v>
      </c>
      <c r="CD13" s="1">
        <v>0.0</v>
      </c>
      <c r="CE13" s="1">
        <v>-2.072530458</v>
      </c>
      <c r="CF13" s="1">
        <v>5.111350029</v>
      </c>
      <c r="CG13" s="1">
        <v>0.0</v>
      </c>
      <c r="CH13" s="1">
        <v>0.0</v>
      </c>
      <c r="CI13" s="1">
        <v>-0.9244589725</v>
      </c>
      <c r="CJ13" s="1">
        <v>3.029637742</v>
      </c>
      <c r="CK13" s="1">
        <v>0.0</v>
      </c>
      <c r="CL13" s="1">
        <v>0.0</v>
      </c>
      <c r="CM13" s="1">
        <v>3.328261221</v>
      </c>
      <c r="CN13" s="1">
        <v>5.607604098</v>
      </c>
      <c r="CO13" s="1">
        <v>3.328261221</v>
      </c>
      <c r="CP13" s="1">
        <v>0.9007041344</v>
      </c>
      <c r="CQ13" s="1">
        <v>3.092161949</v>
      </c>
      <c r="CR13" s="1">
        <v>1.341086158</v>
      </c>
      <c r="CS13" s="1">
        <v>-0.4230126897</v>
      </c>
      <c r="CT13" s="1">
        <v>0.08931020027</v>
      </c>
      <c r="CU13" s="1">
        <v>0.0</v>
      </c>
      <c r="CV13" s="1">
        <v>0.0</v>
      </c>
      <c r="CW13" s="1">
        <v>0.0</v>
      </c>
      <c r="CX13" s="1">
        <v>200.6650342</v>
      </c>
      <c r="CY13" s="1">
        <v>-463.0491947</v>
      </c>
      <c r="CZ13" s="1">
        <v>-484.7977112</v>
      </c>
      <c r="DA13" s="1">
        <v>84.98114613</v>
      </c>
      <c r="DB13" s="1">
        <v>1.046968047</v>
      </c>
      <c r="DC13" s="1">
        <v>0.4234975289</v>
      </c>
      <c r="DD13" s="1">
        <v>3.471127786</v>
      </c>
      <c r="DE13" s="1">
        <v>1.084028415</v>
      </c>
      <c r="DF13" s="1">
        <v>15.55</v>
      </c>
      <c r="DG13" s="1">
        <v>1.162</v>
      </c>
      <c r="DH13" s="1">
        <v>100.0</v>
      </c>
      <c r="DI13" s="1">
        <v>412.38</v>
      </c>
      <c r="DJ13" s="1">
        <v>59.97418278</v>
      </c>
      <c r="DK13" s="1">
        <v>431.814116</v>
      </c>
    </row>
    <row r="14">
      <c r="A14" s="1">
        <v>3.4</v>
      </c>
      <c r="B14" s="1">
        <v>15.55654895</v>
      </c>
      <c r="C14" s="1">
        <v>34.8</v>
      </c>
      <c r="D14" s="1">
        <v>-2.0</v>
      </c>
      <c r="E14" s="1" t="s">
        <v>135</v>
      </c>
      <c r="F14" s="1">
        <v>491.4050396</v>
      </c>
      <c r="G14" s="1">
        <v>216.573794</v>
      </c>
      <c r="H14" s="1">
        <v>3.236834475</v>
      </c>
      <c r="I14" s="1">
        <v>1.422084061</v>
      </c>
      <c r="J14" s="1">
        <v>1.443987291</v>
      </c>
      <c r="K14" s="1">
        <v>0.6559210255</v>
      </c>
      <c r="L14" s="1">
        <v>2.268995848</v>
      </c>
      <c r="M14" s="1">
        <v>56.05727868</v>
      </c>
      <c r="N14" s="1">
        <v>43.94272132</v>
      </c>
      <c r="O14" s="1">
        <v>3.125026427</v>
      </c>
      <c r="P14" s="4">
        <v>1.53E-5</v>
      </c>
      <c r="Q14" s="1">
        <v>0.001249856377</v>
      </c>
      <c r="R14" s="1">
        <v>1.419846046</v>
      </c>
      <c r="S14" s="4">
        <v>2.68E-6</v>
      </c>
      <c r="T14" s="1">
        <v>0.001152609397</v>
      </c>
      <c r="U14" s="1">
        <v>56.09147186</v>
      </c>
      <c r="V14" s="7">
        <f t="shared" si="1"/>
        <v>1.815588099</v>
      </c>
      <c r="W14" s="1">
        <v>0.001606110838</v>
      </c>
      <c r="X14" s="7">
        <f t="shared" si="2"/>
        <v>0.00005198714931</v>
      </c>
      <c r="Y14" s="4">
        <v>7.14E-4</v>
      </c>
      <c r="Z14" s="2">
        <v>184.661377</v>
      </c>
      <c r="AA14" s="2">
        <v>40.8864909</v>
      </c>
      <c r="AB14" s="1">
        <v>137.2044531</v>
      </c>
      <c r="AC14" s="1">
        <v>12.56561391</v>
      </c>
      <c r="AD14" s="1">
        <v>9.458447225</v>
      </c>
      <c r="AE14" s="1">
        <v>5.236405417</v>
      </c>
      <c r="AF14" s="1">
        <v>4.224456952</v>
      </c>
      <c r="AG14" s="1">
        <v>4.775334705</v>
      </c>
      <c r="AH14" s="1">
        <v>5.940222723</v>
      </c>
      <c r="AI14" s="1">
        <v>4.328257032</v>
      </c>
      <c r="AJ14" s="1">
        <v>5.059231081</v>
      </c>
      <c r="AK14" s="1">
        <v>6.769571891</v>
      </c>
      <c r="AL14" s="1">
        <v>1.035332857</v>
      </c>
      <c r="AM14" s="1">
        <v>0.8248852354</v>
      </c>
      <c r="AN14" s="1">
        <v>14.11178229</v>
      </c>
      <c r="AO14" s="1">
        <v>0.9733836556</v>
      </c>
      <c r="AP14" s="1">
        <v>0.7302588945</v>
      </c>
      <c r="AQ14" s="1">
        <v>5.54065903</v>
      </c>
      <c r="AR14" s="1">
        <v>0.0</v>
      </c>
      <c r="AS14" s="1">
        <v>0.0</v>
      </c>
      <c r="AT14" s="2">
        <v>210.6767509</v>
      </c>
      <c r="AU14" s="2">
        <v>109.3484693</v>
      </c>
      <c r="AV14" s="1">
        <v>156.5780462</v>
      </c>
      <c r="AW14" s="1">
        <v>47.01677938</v>
      </c>
      <c r="AX14" s="1">
        <v>4.056634593</v>
      </c>
      <c r="AY14" s="1">
        <v>0.0</v>
      </c>
      <c r="AZ14" s="1">
        <v>0.0</v>
      </c>
      <c r="BA14" s="1">
        <v>28.20454509</v>
      </c>
      <c r="BB14" s="1">
        <v>58.8471877</v>
      </c>
      <c r="BC14" s="1">
        <v>19.14480548</v>
      </c>
      <c r="BD14" s="1">
        <v>0.0</v>
      </c>
      <c r="BE14" s="1">
        <v>0.0</v>
      </c>
      <c r="BF14" s="1">
        <v>-1.031343917</v>
      </c>
      <c r="BG14" s="1">
        <v>3.151930996</v>
      </c>
      <c r="BH14" s="2">
        <v>112.8950926</v>
      </c>
      <c r="BI14" s="2">
        <v>20.3224681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-9.948502798</v>
      </c>
      <c r="BU14" s="1">
        <v>-0.9869399781</v>
      </c>
      <c r="BV14" s="1">
        <v>24.58897463</v>
      </c>
      <c r="BW14" s="1">
        <v>3.146824507</v>
      </c>
      <c r="BX14" s="1">
        <v>1.042579406</v>
      </c>
      <c r="BY14" s="1">
        <v>7.763158987</v>
      </c>
      <c r="BZ14" s="1">
        <v>25.27623474</v>
      </c>
      <c r="CA14" s="1">
        <v>19.20857157</v>
      </c>
      <c r="CB14" s="1">
        <v>0.0</v>
      </c>
      <c r="CC14" s="1">
        <v>0.0</v>
      </c>
      <c r="CD14" s="1">
        <v>0.0</v>
      </c>
      <c r="CE14" s="1">
        <v>-2.1280951</v>
      </c>
      <c r="CF14" s="1">
        <v>5.088864273</v>
      </c>
      <c r="CG14" s="1">
        <v>0.0</v>
      </c>
      <c r="CH14" s="1">
        <v>0.0</v>
      </c>
      <c r="CI14" s="1">
        <v>-1.171404308</v>
      </c>
      <c r="CJ14" s="1">
        <v>3.312190303</v>
      </c>
      <c r="CK14" s="1">
        <v>0.0</v>
      </c>
      <c r="CL14" s="1">
        <v>0.0</v>
      </c>
      <c r="CM14" s="1">
        <v>3.458845747</v>
      </c>
      <c r="CN14" s="1">
        <v>3.455107973</v>
      </c>
      <c r="CO14" s="1">
        <v>3.458845747</v>
      </c>
      <c r="CP14" s="1">
        <v>1.300401402</v>
      </c>
      <c r="CQ14" s="1">
        <v>3.163859694</v>
      </c>
      <c r="CR14" s="1">
        <v>0.7469748015</v>
      </c>
      <c r="CS14" s="1">
        <v>-0.2470774098</v>
      </c>
      <c r="CT14" s="1">
        <v>0.09228916311</v>
      </c>
      <c r="CU14" s="1">
        <v>0.0</v>
      </c>
      <c r="CV14" s="1">
        <v>0.0</v>
      </c>
      <c r="CW14" s="1">
        <v>0.0</v>
      </c>
      <c r="CX14" s="1">
        <v>216.573794</v>
      </c>
      <c r="CY14" s="1">
        <v>-491.4050396</v>
      </c>
      <c r="CZ14" s="1">
        <v>-534.0942003</v>
      </c>
      <c r="DA14" s="1">
        <v>95.04849327</v>
      </c>
      <c r="DB14" s="1">
        <v>1.086871638</v>
      </c>
      <c r="DC14" s="1">
        <v>0.4388734735</v>
      </c>
      <c r="DD14" s="1">
        <v>3.471181771</v>
      </c>
      <c r="DE14" s="1">
        <v>1.084036039</v>
      </c>
      <c r="DF14" s="1">
        <v>15.55</v>
      </c>
      <c r="DG14" s="1">
        <v>1.162</v>
      </c>
      <c r="DH14" s="1">
        <v>100.0</v>
      </c>
      <c r="DI14" s="1">
        <v>311.791</v>
      </c>
      <c r="DJ14" s="1">
        <v>56.70225583</v>
      </c>
      <c r="DK14" s="1">
        <v>326.0832604</v>
      </c>
    </row>
    <row r="15">
      <c r="A15" s="1">
        <v>3.5</v>
      </c>
      <c r="B15" s="1">
        <v>15.55654895</v>
      </c>
      <c r="C15" s="1">
        <v>34.8</v>
      </c>
      <c r="D15" s="1">
        <v>2.0</v>
      </c>
      <c r="E15" s="1" t="s">
        <v>135</v>
      </c>
      <c r="F15" s="1">
        <v>484.3094411</v>
      </c>
      <c r="G15" s="1">
        <v>217.0750654</v>
      </c>
      <c r="H15" s="1">
        <v>3.190096497</v>
      </c>
      <c r="I15" s="1">
        <v>1.425219471</v>
      </c>
      <c r="J15" s="1">
        <v>1.422981212</v>
      </c>
      <c r="K15" s="1">
        <v>0.6572952541</v>
      </c>
      <c r="L15" s="1">
        <v>2.231068963</v>
      </c>
      <c r="M15" s="1">
        <v>56.5508532</v>
      </c>
      <c r="N15" s="1">
        <v>43.4491468</v>
      </c>
      <c r="O15" s="1">
        <v>3.084342359</v>
      </c>
      <c r="P15" s="4">
        <v>2.34E-7</v>
      </c>
      <c r="Q15" s="4">
        <v>1.57E-4</v>
      </c>
      <c r="R15" s="1">
        <v>1.424901186</v>
      </c>
      <c r="S15" s="4">
        <v>2.09E-8</v>
      </c>
      <c r="T15" s="4">
        <v>1.01E-4</v>
      </c>
      <c r="U15" s="1">
        <v>56.56416695</v>
      </c>
      <c r="V15" s="7">
        <f t="shared" si="1"/>
        <v>1.804451508</v>
      </c>
      <c r="W15" s="4">
        <v>5.23E-5</v>
      </c>
      <c r="X15" s="10">
        <f t="shared" si="2"/>
        <v>0.000001668420468</v>
      </c>
      <c r="Y15" s="4">
        <v>1.28E-4</v>
      </c>
      <c r="Z15" s="2">
        <v>185.1511636</v>
      </c>
      <c r="AA15" s="2">
        <v>40.89785066</v>
      </c>
      <c r="AB15" s="1">
        <v>137.8610421</v>
      </c>
      <c r="AC15" s="1">
        <v>12.54525637</v>
      </c>
      <c r="AD15" s="1">
        <v>9.471355448</v>
      </c>
      <c r="AE15" s="1">
        <v>5.23187891</v>
      </c>
      <c r="AF15" s="1">
        <v>4.242126454</v>
      </c>
      <c r="AG15" s="1">
        <v>4.754698784</v>
      </c>
      <c r="AH15" s="1">
        <v>5.93549606</v>
      </c>
      <c r="AI15" s="1">
        <v>4.339126263</v>
      </c>
      <c r="AJ15" s="1">
        <v>5.056006257</v>
      </c>
      <c r="AK15" s="1">
        <v>6.796338552</v>
      </c>
      <c r="AL15" s="1">
        <v>1.007111947</v>
      </c>
      <c r="AM15" s="1">
        <v>0.8039084879</v>
      </c>
      <c r="AN15" s="1">
        <v>13.98848386</v>
      </c>
      <c r="AO15" s="1">
        <v>0.9787340987</v>
      </c>
      <c r="AP15" s="1">
        <v>0.7387150108</v>
      </c>
      <c r="AQ15" s="1">
        <v>5.502397079</v>
      </c>
      <c r="AR15" s="1">
        <v>0.0</v>
      </c>
      <c r="AS15" s="1">
        <v>0.0</v>
      </c>
      <c r="AT15" s="2">
        <v>207.6072241</v>
      </c>
      <c r="AU15" s="2">
        <v>107.8037333</v>
      </c>
      <c r="AV15" s="1">
        <v>154.3886031</v>
      </c>
      <c r="AW15" s="1">
        <v>46.31088511</v>
      </c>
      <c r="AX15" s="1">
        <v>3.984308065</v>
      </c>
      <c r="AY15" s="1">
        <v>0.0</v>
      </c>
      <c r="AZ15" s="1">
        <v>0.0</v>
      </c>
      <c r="BA15" s="1">
        <v>27.426772</v>
      </c>
      <c r="BB15" s="1">
        <v>58.24232789</v>
      </c>
      <c r="BC15" s="1">
        <v>19.00746593</v>
      </c>
      <c r="BD15" s="1">
        <v>0.0</v>
      </c>
      <c r="BE15" s="1">
        <v>0.0</v>
      </c>
      <c r="BF15" s="1">
        <v>-1.060880251</v>
      </c>
      <c r="BG15" s="1">
        <v>3.127167498</v>
      </c>
      <c r="BH15" s="2">
        <v>118.1778454</v>
      </c>
      <c r="BI15" s="2">
        <v>20.4282799</v>
      </c>
      <c r="BJ15" s="1">
        <v>0.0</v>
      </c>
      <c r="BK15" s="1">
        <v>0.0</v>
      </c>
      <c r="BL15" s="1">
        <v>0.0</v>
      </c>
      <c r="BM15" s="1">
        <v>0.0</v>
      </c>
      <c r="BN15" s="1">
        <v>0.0</v>
      </c>
      <c r="BO15" s="1">
        <v>0.0</v>
      </c>
      <c r="BP15" s="1">
        <v>0.0</v>
      </c>
      <c r="BQ15" s="1">
        <v>0.0</v>
      </c>
      <c r="BR15" s="1">
        <v>0.0</v>
      </c>
      <c r="BS15" s="1">
        <v>0.0</v>
      </c>
      <c r="BT15" s="1">
        <v>-9.994699218</v>
      </c>
      <c r="BU15" s="1">
        <v>-1.007962637</v>
      </c>
      <c r="BV15" s="1">
        <v>25.22234383</v>
      </c>
      <c r="BW15" s="1">
        <v>3.295119806</v>
      </c>
      <c r="BX15" s="1">
        <v>0.7479733084</v>
      </c>
      <c r="BY15" s="1">
        <v>6.630609667</v>
      </c>
      <c r="BZ15" s="1">
        <v>24.90851525</v>
      </c>
      <c r="CA15" s="1">
        <v>21.11444953</v>
      </c>
      <c r="CB15" s="1">
        <v>0.0</v>
      </c>
      <c r="CC15" s="1">
        <v>0.0</v>
      </c>
      <c r="CD15" s="1">
        <v>0.0</v>
      </c>
      <c r="CE15" s="1">
        <v>-2.0691267</v>
      </c>
      <c r="CF15" s="1">
        <v>5.20444838</v>
      </c>
      <c r="CG15" s="1">
        <v>0.0</v>
      </c>
      <c r="CH15" s="1">
        <v>0.0</v>
      </c>
      <c r="CI15" s="1">
        <v>-1.015725236</v>
      </c>
      <c r="CJ15" s="1">
        <v>3.219402426</v>
      </c>
      <c r="CK15" s="1">
        <v>0.0</v>
      </c>
      <c r="CL15" s="1">
        <v>0.0</v>
      </c>
      <c r="CM15" s="1">
        <v>3.268293139</v>
      </c>
      <c r="CN15" s="1">
        <v>4.539241408</v>
      </c>
      <c r="CO15" s="1">
        <v>3.268293139</v>
      </c>
      <c r="CP15" s="1">
        <v>1.2763442</v>
      </c>
      <c r="CQ15" s="1">
        <v>3.146606905</v>
      </c>
      <c r="CR15" s="1">
        <v>-0.1446336745</v>
      </c>
      <c r="CS15" s="1">
        <v>-0.1984044984</v>
      </c>
      <c r="CT15" s="1">
        <v>0.08846928067</v>
      </c>
      <c r="CU15" s="1">
        <v>0.0</v>
      </c>
      <c r="CV15" s="1">
        <v>0.0</v>
      </c>
      <c r="CW15" s="1">
        <v>0.0</v>
      </c>
      <c r="CX15" s="1">
        <v>217.0750654</v>
      </c>
      <c r="CY15" s="1">
        <v>-484.3094411</v>
      </c>
      <c r="CZ15" s="1">
        <v>-521.6216274</v>
      </c>
      <c r="DA15" s="1">
        <v>94.30830572</v>
      </c>
      <c r="DB15" s="1">
        <v>1.077042038</v>
      </c>
      <c r="DC15" s="1">
        <v>0.4344502007</v>
      </c>
      <c r="DD15" s="1">
        <v>3.471172892</v>
      </c>
      <c r="DE15" s="1">
        <v>1.084154695</v>
      </c>
      <c r="DF15" s="1">
        <v>15.55</v>
      </c>
      <c r="DG15" s="1">
        <v>1.162</v>
      </c>
      <c r="DH15" s="1">
        <v>100.0</v>
      </c>
      <c r="DI15" s="1">
        <v>120.837</v>
      </c>
      <c r="DJ15" s="1">
        <v>11.25911222</v>
      </c>
      <c r="DK15" s="1">
        <v>27.02186933</v>
      </c>
    </row>
    <row r="16">
      <c r="Z16" s="12"/>
      <c r="AA16" s="12"/>
      <c r="AT16" s="12"/>
      <c r="AU16" s="12"/>
      <c r="BH16" s="12"/>
      <c r="BI16" s="12"/>
    </row>
    <row r="17">
      <c r="J17" s="3">
        <f t="shared" ref="J17:J21" si="3">H2*(M2/100)</f>
        <v>-0.9331294516</v>
      </c>
      <c r="K17" s="3">
        <f t="shared" ref="K17:K21" si="4">H2*(N2/100)</f>
        <v>-0.6915246844</v>
      </c>
      <c r="L17" s="3">
        <f t="shared" ref="L17:L21" si="5">J17-K17</f>
        <v>-0.2416047672</v>
      </c>
      <c r="Z17" s="12"/>
      <c r="AA17" s="12"/>
      <c r="AT17" s="12"/>
      <c r="AU17" s="12"/>
      <c r="BH17" s="12"/>
      <c r="BI17" s="12"/>
    </row>
    <row r="18">
      <c r="J18" s="3">
        <f t="shared" si="3"/>
        <v>-0.9271344438</v>
      </c>
      <c r="K18" s="3">
        <f t="shared" si="4"/>
        <v>-0.7149144462</v>
      </c>
      <c r="L18" s="3">
        <f t="shared" si="5"/>
        <v>-0.2122199976</v>
      </c>
      <c r="Z18" s="12"/>
      <c r="AA18" s="12"/>
      <c r="AT18" s="12"/>
      <c r="AU18" s="12"/>
      <c r="BH18" s="12"/>
      <c r="BI18" s="12"/>
    </row>
    <row r="19">
      <c r="J19" s="3">
        <f t="shared" si="3"/>
        <v>-1.06675467</v>
      </c>
      <c r="K19" s="3">
        <f t="shared" si="4"/>
        <v>-0.7903122959</v>
      </c>
      <c r="L19" s="3">
        <f t="shared" si="5"/>
        <v>-0.2764423742</v>
      </c>
      <c r="Z19" s="12"/>
      <c r="AA19" s="12"/>
      <c r="AT19" s="12"/>
      <c r="AU19" s="12"/>
      <c r="BH19" s="12"/>
      <c r="BI19" s="12"/>
    </row>
    <row r="20">
      <c r="J20" s="3">
        <f t="shared" si="3"/>
        <v>-0.8975578942</v>
      </c>
      <c r="K20" s="3">
        <f t="shared" si="4"/>
        <v>-0.6844664778</v>
      </c>
      <c r="L20" s="3">
        <f t="shared" si="5"/>
        <v>-0.2130914164</v>
      </c>
      <c r="Z20" s="12"/>
      <c r="AA20" s="12"/>
      <c r="AT20" s="12"/>
      <c r="AU20" s="12"/>
      <c r="BH20" s="12"/>
      <c r="BI20" s="12"/>
    </row>
    <row r="21">
      <c r="J21" s="3">
        <f t="shared" si="3"/>
        <v>-1.061890029</v>
      </c>
      <c r="K21" s="3">
        <f t="shared" si="4"/>
        <v>-0.7921148516</v>
      </c>
      <c r="L21" s="3">
        <f t="shared" si="5"/>
        <v>-0.2697751779</v>
      </c>
      <c r="Z21" s="12"/>
      <c r="AA21" s="12"/>
      <c r="AT21" s="12"/>
      <c r="AU21" s="12"/>
      <c r="BH21" s="12"/>
      <c r="BI21" s="12"/>
    </row>
    <row r="22">
      <c r="Z22" s="12"/>
      <c r="AA22" s="12"/>
      <c r="AT22" s="12"/>
      <c r="AU22" s="12"/>
      <c r="BH22" s="12"/>
      <c r="BI22" s="12"/>
    </row>
    <row r="23">
      <c r="Z23" s="12"/>
      <c r="AA23" s="12"/>
      <c r="AT23" s="12"/>
      <c r="AU23" s="12"/>
      <c r="BH23" s="12"/>
      <c r="BI23" s="12"/>
    </row>
    <row r="24">
      <c r="Z24" s="12"/>
      <c r="AA24" s="12"/>
      <c r="AT24" s="12"/>
      <c r="AU24" s="12"/>
      <c r="BH24" s="12"/>
      <c r="BI24" s="12"/>
    </row>
    <row r="25">
      <c r="Z25" s="12"/>
      <c r="AA25" s="12"/>
      <c r="AT25" s="12"/>
      <c r="AU25" s="12"/>
      <c r="BH25" s="12"/>
      <c r="BI25" s="12"/>
    </row>
    <row r="26">
      <c r="Z26" s="12"/>
      <c r="AA26" s="12"/>
      <c r="AT26" s="12"/>
      <c r="AU26" s="12"/>
      <c r="BH26" s="12"/>
      <c r="BI26" s="12"/>
    </row>
    <row r="27">
      <c r="Z27" s="12"/>
      <c r="AA27" s="12"/>
      <c r="AT27" s="12"/>
      <c r="AU27" s="12"/>
      <c r="BH27" s="12"/>
      <c r="BI27" s="12"/>
    </row>
    <row r="28">
      <c r="Z28" s="12"/>
      <c r="AA28" s="12"/>
      <c r="AT28" s="12"/>
      <c r="AU28" s="12"/>
      <c r="BH28" s="12"/>
      <c r="BI28" s="12"/>
    </row>
    <row r="29">
      <c r="Z29" s="12"/>
      <c r="AA29" s="12"/>
      <c r="AT29" s="12"/>
      <c r="AU29" s="12"/>
      <c r="BH29" s="12"/>
      <c r="BI29" s="12"/>
    </row>
    <row r="30">
      <c r="Z30" s="12"/>
      <c r="AA30" s="12"/>
      <c r="AT30" s="12"/>
      <c r="AU30" s="12"/>
      <c r="BH30" s="12"/>
      <c r="BI30" s="12"/>
    </row>
    <row r="31">
      <c r="Z31" s="12"/>
      <c r="AA31" s="12"/>
      <c r="AT31" s="12"/>
      <c r="AU31" s="12"/>
      <c r="BH31" s="12"/>
      <c r="BI31" s="12"/>
    </row>
    <row r="32">
      <c r="Z32" s="12"/>
      <c r="AA32" s="12"/>
      <c r="AT32" s="12"/>
      <c r="AU32" s="12"/>
      <c r="BH32" s="12"/>
      <c r="BI32" s="12"/>
    </row>
    <row r="33">
      <c r="Z33" s="12"/>
      <c r="AA33" s="12"/>
      <c r="AT33" s="12"/>
      <c r="AU33" s="12"/>
      <c r="BH33" s="12"/>
      <c r="BI33" s="12"/>
    </row>
    <row r="34">
      <c r="Z34" s="12"/>
      <c r="AA34" s="12"/>
      <c r="AT34" s="12"/>
      <c r="AU34" s="12"/>
      <c r="BH34" s="12"/>
      <c r="BI34" s="12"/>
    </row>
    <row r="35">
      <c r="Z35" s="12"/>
      <c r="AA35" s="12"/>
      <c r="AT35" s="12"/>
      <c r="AU35" s="12"/>
      <c r="BH35" s="12"/>
      <c r="BI35" s="12"/>
    </row>
    <row r="36">
      <c r="Z36" s="12"/>
      <c r="AA36" s="12"/>
      <c r="AT36" s="12"/>
      <c r="AU36" s="12"/>
      <c r="BH36" s="12"/>
      <c r="BI36" s="12"/>
    </row>
    <row r="37">
      <c r="Z37" s="12"/>
      <c r="AA37" s="12"/>
      <c r="AT37" s="12"/>
      <c r="AU37" s="12"/>
      <c r="BH37" s="12"/>
      <c r="BI37" s="12"/>
    </row>
    <row r="38">
      <c r="Z38" s="12"/>
      <c r="AA38" s="12"/>
      <c r="AT38" s="12"/>
      <c r="AU38" s="12"/>
      <c r="BH38" s="12"/>
      <c r="BI38" s="12"/>
    </row>
    <row r="39">
      <c r="Z39" s="12"/>
      <c r="AA39" s="12"/>
      <c r="AT39" s="12"/>
      <c r="AU39" s="12"/>
      <c r="BH39" s="12"/>
      <c r="BI39" s="12"/>
    </row>
    <row r="40">
      <c r="Z40" s="12"/>
      <c r="AA40" s="12"/>
      <c r="AT40" s="12"/>
      <c r="AU40" s="12"/>
      <c r="BH40" s="12"/>
      <c r="BI40" s="12"/>
    </row>
    <row r="41">
      <c r="Z41" s="12"/>
      <c r="AA41" s="12"/>
      <c r="AT41" s="12"/>
      <c r="AU41" s="12"/>
      <c r="BH41" s="12"/>
      <c r="BI41" s="12"/>
    </row>
    <row r="42">
      <c r="Z42" s="12"/>
      <c r="AA42" s="12"/>
      <c r="AT42" s="12"/>
      <c r="AU42" s="12"/>
      <c r="BH42" s="12"/>
      <c r="BI42" s="12"/>
    </row>
    <row r="43">
      <c r="Z43" s="12"/>
      <c r="AA43" s="12"/>
      <c r="AT43" s="12"/>
      <c r="AU43" s="12"/>
      <c r="BH43" s="12"/>
      <c r="BI43" s="12"/>
    </row>
    <row r="44">
      <c r="Z44" s="12"/>
      <c r="AA44" s="12"/>
      <c r="AT44" s="12"/>
      <c r="AU44" s="12"/>
      <c r="BH44" s="12"/>
      <c r="BI44" s="12"/>
    </row>
    <row r="45">
      <c r="Z45" s="12"/>
      <c r="AA45" s="12"/>
      <c r="AT45" s="12"/>
      <c r="AU45" s="12"/>
      <c r="BH45" s="12"/>
      <c r="BI45" s="12"/>
    </row>
    <row r="46">
      <c r="Z46" s="12"/>
      <c r="AA46" s="12"/>
      <c r="AT46" s="12"/>
      <c r="AU46" s="12"/>
      <c r="BH46" s="12"/>
      <c r="BI46" s="12"/>
    </row>
    <row r="47">
      <c r="Z47" s="12"/>
      <c r="AA47" s="12"/>
      <c r="AT47" s="12"/>
      <c r="AU47" s="12"/>
      <c r="BH47" s="12"/>
      <c r="BI47" s="12"/>
    </row>
    <row r="48">
      <c r="Z48" s="12"/>
      <c r="AA48" s="12"/>
      <c r="AT48" s="12"/>
      <c r="AU48" s="12"/>
      <c r="BH48" s="12"/>
      <c r="BI48" s="12"/>
    </row>
    <row r="49">
      <c r="Z49" s="12"/>
      <c r="AA49" s="12"/>
      <c r="AT49" s="12"/>
      <c r="AU49" s="12"/>
      <c r="BH49" s="12"/>
      <c r="BI49" s="12"/>
    </row>
    <row r="50">
      <c r="Z50" s="12"/>
      <c r="AA50" s="12"/>
      <c r="AT50" s="12"/>
      <c r="AU50" s="12"/>
      <c r="BH50" s="12"/>
      <c r="BI50" s="12"/>
    </row>
    <row r="51">
      <c r="Z51" s="12"/>
      <c r="AA51" s="12"/>
      <c r="AT51" s="12"/>
      <c r="AU51" s="12"/>
      <c r="BH51" s="12"/>
      <c r="BI51" s="12"/>
    </row>
    <row r="52">
      <c r="Z52" s="12"/>
      <c r="AA52" s="12"/>
      <c r="AT52" s="12"/>
      <c r="AU52" s="12"/>
      <c r="BH52" s="12"/>
      <c r="BI52" s="12"/>
    </row>
    <row r="53">
      <c r="Z53" s="12"/>
      <c r="AA53" s="12"/>
      <c r="AT53" s="12"/>
      <c r="AU53" s="12"/>
      <c r="BH53" s="12"/>
      <c r="BI53" s="12"/>
    </row>
    <row r="54">
      <c r="Z54" s="12"/>
      <c r="AA54" s="12"/>
      <c r="AT54" s="12"/>
      <c r="AU54" s="12"/>
      <c r="BH54" s="12"/>
      <c r="BI54" s="12"/>
    </row>
    <row r="55">
      <c r="Z55" s="12"/>
      <c r="AA55" s="12"/>
      <c r="AT55" s="12"/>
      <c r="AU55" s="12"/>
      <c r="BH55" s="12"/>
      <c r="BI55" s="12"/>
    </row>
    <row r="56">
      <c r="Z56" s="12"/>
      <c r="AA56" s="12"/>
      <c r="AT56" s="12"/>
      <c r="AU56" s="12"/>
      <c r="BH56" s="12"/>
      <c r="BI56" s="12"/>
    </row>
    <row r="57">
      <c r="Z57" s="12"/>
      <c r="AA57" s="12"/>
      <c r="AT57" s="12"/>
      <c r="AU57" s="12"/>
      <c r="BH57" s="12"/>
      <c r="BI57" s="12"/>
    </row>
    <row r="58">
      <c r="Z58" s="12"/>
      <c r="AA58" s="12"/>
      <c r="AT58" s="12"/>
      <c r="AU58" s="12"/>
      <c r="BH58" s="12"/>
      <c r="BI58" s="12"/>
    </row>
    <row r="59">
      <c r="Z59" s="12"/>
      <c r="AA59" s="12"/>
      <c r="AT59" s="12"/>
      <c r="AU59" s="12"/>
      <c r="BH59" s="12"/>
      <c r="BI59" s="12"/>
    </row>
    <row r="60">
      <c r="Z60" s="12"/>
      <c r="AA60" s="12"/>
      <c r="AT60" s="12"/>
      <c r="AU60" s="12"/>
      <c r="BH60" s="12"/>
      <c r="BI60" s="12"/>
    </row>
    <row r="61">
      <c r="Z61" s="12"/>
      <c r="AA61" s="12"/>
      <c r="AT61" s="12"/>
      <c r="AU61" s="12"/>
      <c r="BH61" s="12"/>
      <c r="BI61" s="12"/>
    </row>
    <row r="62">
      <c r="Z62" s="12"/>
      <c r="AA62" s="12"/>
      <c r="AT62" s="12"/>
      <c r="AU62" s="12"/>
      <c r="BH62" s="12"/>
      <c r="BI62" s="12"/>
    </row>
    <row r="63">
      <c r="Z63" s="12"/>
      <c r="AA63" s="12"/>
      <c r="AT63" s="12"/>
      <c r="AU63" s="12"/>
      <c r="BH63" s="12"/>
      <c r="BI63" s="12"/>
    </row>
    <row r="64">
      <c r="Z64" s="12"/>
      <c r="AA64" s="12"/>
      <c r="AT64" s="12"/>
      <c r="AU64" s="12"/>
      <c r="BH64" s="12"/>
      <c r="BI64" s="12"/>
    </row>
    <row r="65">
      <c r="Z65" s="12"/>
      <c r="AA65" s="12"/>
      <c r="AT65" s="12"/>
      <c r="AU65" s="12"/>
      <c r="BH65" s="12"/>
      <c r="BI65" s="12"/>
    </row>
    <row r="66">
      <c r="Z66" s="12"/>
      <c r="AA66" s="12"/>
      <c r="AT66" s="12"/>
      <c r="AU66" s="12"/>
      <c r="BH66" s="12"/>
      <c r="BI66" s="12"/>
    </row>
    <row r="67">
      <c r="Z67" s="12"/>
      <c r="AA67" s="12"/>
      <c r="AT67" s="12"/>
      <c r="AU67" s="12"/>
      <c r="BH67" s="12"/>
      <c r="BI67" s="12"/>
    </row>
    <row r="68">
      <c r="Z68" s="12"/>
      <c r="AA68" s="12"/>
      <c r="AT68" s="12"/>
      <c r="AU68" s="12"/>
      <c r="BH68" s="12"/>
      <c r="BI68" s="12"/>
    </row>
    <row r="69">
      <c r="Z69" s="12"/>
      <c r="AA69" s="12"/>
      <c r="AT69" s="12"/>
      <c r="AU69" s="12"/>
      <c r="BH69" s="12"/>
      <c r="BI69" s="12"/>
    </row>
    <row r="70">
      <c r="Z70" s="12"/>
      <c r="AA70" s="12"/>
      <c r="AT70" s="12"/>
      <c r="AU70" s="12"/>
      <c r="BH70" s="12"/>
      <c r="BI70" s="12"/>
    </row>
    <row r="71">
      <c r="Z71" s="12"/>
      <c r="AA71" s="12"/>
      <c r="AT71" s="12"/>
      <c r="AU71" s="12"/>
      <c r="BH71" s="12"/>
      <c r="BI71" s="12"/>
    </row>
    <row r="72">
      <c r="Z72" s="12"/>
      <c r="AA72" s="12"/>
      <c r="AT72" s="12"/>
      <c r="AU72" s="12"/>
      <c r="BH72" s="12"/>
      <c r="BI72" s="12"/>
    </row>
    <row r="73">
      <c r="Z73" s="12"/>
      <c r="AA73" s="12"/>
      <c r="AT73" s="12"/>
      <c r="AU73" s="12"/>
      <c r="BH73" s="12"/>
      <c r="BI73" s="12"/>
    </row>
    <row r="74">
      <c r="Z74" s="12"/>
      <c r="AA74" s="12"/>
      <c r="AT74" s="12"/>
      <c r="AU74" s="12"/>
      <c r="BH74" s="12"/>
      <c r="BI74" s="12"/>
    </row>
    <row r="75">
      <c r="Z75" s="12"/>
      <c r="AA75" s="12"/>
      <c r="AT75" s="12"/>
      <c r="AU75" s="12"/>
      <c r="BH75" s="12"/>
      <c r="BI75" s="12"/>
    </row>
    <row r="76">
      <c r="Z76" s="12"/>
      <c r="AA76" s="12"/>
      <c r="AT76" s="12"/>
      <c r="AU76" s="12"/>
      <c r="BH76" s="12"/>
      <c r="BI76" s="12"/>
    </row>
    <row r="77">
      <c r="Z77" s="12"/>
      <c r="AA77" s="12"/>
      <c r="AT77" s="12"/>
      <c r="AU77" s="12"/>
      <c r="BH77" s="12"/>
      <c r="BI77" s="12"/>
    </row>
    <row r="78">
      <c r="Z78" s="12"/>
      <c r="AA78" s="12"/>
      <c r="AT78" s="12"/>
      <c r="AU78" s="12"/>
      <c r="BH78" s="12"/>
      <c r="BI78" s="12"/>
    </row>
    <row r="79">
      <c r="Z79" s="12"/>
      <c r="AA79" s="12"/>
      <c r="AT79" s="12"/>
      <c r="AU79" s="12"/>
      <c r="BH79" s="12"/>
      <c r="BI79" s="12"/>
    </row>
    <row r="80">
      <c r="Z80" s="12"/>
      <c r="AA80" s="12"/>
      <c r="AT80" s="12"/>
      <c r="AU80" s="12"/>
      <c r="BH80" s="12"/>
      <c r="BI80" s="12"/>
    </row>
    <row r="81">
      <c r="Z81" s="12"/>
      <c r="AA81" s="12"/>
      <c r="AT81" s="12"/>
      <c r="AU81" s="12"/>
      <c r="BH81" s="12"/>
      <c r="BI81" s="12"/>
    </row>
    <row r="82">
      <c r="Z82" s="12"/>
      <c r="AA82" s="12"/>
      <c r="AT82" s="12"/>
      <c r="AU82" s="12"/>
      <c r="BH82" s="12"/>
      <c r="BI82" s="12"/>
    </row>
    <row r="83">
      <c r="Z83" s="12"/>
      <c r="AA83" s="12"/>
      <c r="AT83" s="12"/>
      <c r="AU83" s="12"/>
      <c r="BH83" s="12"/>
      <c r="BI83" s="12"/>
    </row>
    <row r="84">
      <c r="Z84" s="12"/>
      <c r="AA84" s="12"/>
      <c r="AT84" s="12"/>
      <c r="AU84" s="12"/>
      <c r="BH84" s="12"/>
      <c r="BI84" s="12"/>
    </row>
    <row r="85">
      <c r="Z85" s="12"/>
      <c r="AA85" s="12"/>
      <c r="AT85" s="12"/>
      <c r="AU85" s="12"/>
      <c r="BH85" s="12"/>
      <c r="BI85" s="12"/>
    </row>
    <row r="86">
      <c r="Z86" s="12"/>
      <c r="AA86" s="12"/>
      <c r="AT86" s="12"/>
      <c r="AU86" s="12"/>
      <c r="BH86" s="12"/>
      <c r="BI86" s="12"/>
    </row>
    <row r="87">
      <c r="Z87" s="12"/>
      <c r="AA87" s="12"/>
      <c r="AT87" s="12"/>
      <c r="AU87" s="12"/>
      <c r="BH87" s="12"/>
      <c r="BI87" s="12"/>
    </row>
    <row r="88">
      <c r="Z88" s="12"/>
      <c r="AA88" s="12"/>
      <c r="AT88" s="12"/>
      <c r="AU88" s="12"/>
      <c r="BH88" s="12"/>
      <c r="BI88" s="12"/>
    </row>
    <row r="89">
      <c r="Z89" s="12"/>
      <c r="AA89" s="12"/>
      <c r="AT89" s="12"/>
      <c r="AU89" s="12"/>
      <c r="BH89" s="12"/>
      <c r="BI89" s="12"/>
    </row>
    <row r="90">
      <c r="Z90" s="12"/>
      <c r="AA90" s="12"/>
      <c r="AT90" s="12"/>
      <c r="AU90" s="12"/>
      <c r="BH90" s="12"/>
      <c r="BI90" s="12"/>
    </row>
    <row r="91">
      <c r="Z91" s="12"/>
      <c r="AA91" s="12"/>
      <c r="AT91" s="12"/>
      <c r="AU91" s="12"/>
      <c r="BH91" s="12"/>
      <c r="BI91" s="12"/>
    </row>
    <row r="92">
      <c r="Z92" s="12"/>
      <c r="AA92" s="12"/>
      <c r="AT92" s="12"/>
      <c r="AU92" s="12"/>
      <c r="BH92" s="12"/>
      <c r="BI92" s="12"/>
    </row>
    <row r="93">
      <c r="Z93" s="12"/>
      <c r="AA93" s="12"/>
      <c r="AT93" s="12"/>
      <c r="AU93" s="12"/>
      <c r="BH93" s="12"/>
      <c r="BI93" s="12"/>
    </row>
    <row r="94">
      <c r="Z94" s="12"/>
      <c r="AA94" s="12"/>
      <c r="AT94" s="12"/>
      <c r="AU94" s="12"/>
      <c r="BH94" s="12"/>
      <c r="BI94" s="12"/>
    </row>
    <row r="95">
      <c r="Z95" s="12"/>
      <c r="AA95" s="12"/>
      <c r="AT95" s="12"/>
      <c r="AU95" s="12"/>
      <c r="BH95" s="12"/>
      <c r="BI95" s="12"/>
    </row>
    <row r="96">
      <c r="Z96" s="12"/>
      <c r="AA96" s="12"/>
      <c r="AT96" s="12"/>
      <c r="AU96" s="12"/>
      <c r="BH96" s="12"/>
      <c r="BI96" s="12"/>
    </row>
    <row r="97">
      <c r="Z97" s="12"/>
      <c r="AA97" s="12"/>
      <c r="AT97" s="12"/>
      <c r="AU97" s="12"/>
      <c r="BH97" s="12"/>
      <c r="BI97" s="12"/>
    </row>
    <row r="98">
      <c r="Z98" s="12"/>
      <c r="AA98" s="12"/>
      <c r="AT98" s="12"/>
      <c r="AU98" s="12"/>
      <c r="BH98" s="12"/>
      <c r="BI98" s="12"/>
    </row>
    <row r="99">
      <c r="Z99" s="12"/>
      <c r="AA99" s="12"/>
      <c r="AT99" s="12"/>
      <c r="AU99" s="12"/>
      <c r="BH99" s="12"/>
      <c r="BI99" s="12"/>
    </row>
    <row r="100">
      <c r="Z100" s="12"/>
      <c r="AA100" s="12"/>
      <c r="AT100" s="12"/>
      <c r="AU100" s="12"/>
      <c r="BH100" s="12"/>
      <c r="BI100" s="12"/>
    </row>
    <row r="101">
      <c r="Z101" s="12"/>
      <c r="AA101" s="12"/>
      <c r="AT101" s="12"/>
      <c r="AU101" s="12"/>
      <c r="BH101" s="12"/>
      <c r="BI101" s="12"/>
    </row>
    <row r="102">
      <c r="Z102" s="12"/>
      <c r="AA102" s="12"/>
      <c r="AT102" s="12"/>
      <c r="AU102" s="12"/>
      <c r="BH102" s="12"/>
      <c r="BI102" s="12"/>
    </row>
    <row r="103">
      <c r="Z103" s="12"/>
      <c r="AA103" s="12"/>
      <c r="AT103" s="12"/>
      <c r="AU103" s="12"/>
      <c r="BH103" s="12"/>
      <c r="BI103" s="12"/>
    </row>
    <row r="104">
      <c r="Z104" s="12"/>
      <c r="AA104" s="12"/>
      <c r="AT104" s="12"/>
      <c r="AU104" s="12"/>
      <c r="BH104" s="12"/>
      <c r="BI104" s="12"/>
    </row>
    <row r="105">
      <c r="Z105" s="12"/>
      <c r="AA105" s="12"/>
      <c r="AT105" s="12"/>
      <c r="AU105" s="12"/>
      <c r="BH105" s="12"/>
      <c r="BI105" s="12"/>
    </row>
    <row r="106">
      <c r="Z106" s="12"/>
      <c r="AA106" s="12"/>
      <c r="AT106" s="12"/>
      <c r="AU106" s="12"/>
      <c r="BH106" s="12"/>
      <c r="BI106" s="12"/>
    </row>
    <row r="107">
      <c r="Z107" s="12"/>
      <c r="AA107" s="12"/>
      <c r="AT107" s="12"/>
      <c r="AU107" s="12"/>
      <c r="BH107" s="12"/>
      <c r="BI107" s="12"/>
    </row>
    <row r="108">
      <c r="Z108" s="12"/>
      <c r="AA108" s="12"/>
      <c r="AT108" s="12"/>
      <c r="AU108" s="12"/>
      <c r="BH108" s="12"/>
      <c r="BI108" s="12"/>
    </row>
    <row r="109">
      <c r="Z109" s="12"/>
      <c r="AA109" s="12"/>
      <c r="AT109" s="12"/>
      <c r="AU109" s="12"/>
      <c r="BH109" s="12"/>
      <c r="BI109" s="12"/>
    </row>
    <row r="110">
      <c r="Z110" s="12"/>
      <c r="AA110" s="12"/>
      <c r="AT110" s="12"/>
      <c r="AU110" s="12"/>
      <c r="BH110" s="12"/>
      <c r="BI110" s="12"/>
    </row>
    <row r="111">
      <c r="Z111" s="12"/>
      <c r="AA111" s="12"/>
      <c r="AT111" s="12"/>
      <c r="AU111" s="12"/>
      <c r="BH111" s="12"/>
      <c r="BI111" s="12"/>
    </row>
    <row r="112">
      <c r="Z112" s="12"/>
      <c r="AA112" s="12"/>
      <c r="AT112" s="12"/>
      <c r="AU112" s="12"/>
      <c r="BH112" s="12"/>
      <c r="BI112" s="12"/>
    </row>
    <row r="113">
      <c r="Z113" s="12"/>
      <c r="AA113" s="12"/>
      <c r="AT113" s="12"/>
      <c r="AU113" s="12"/>
      <c r="BH113" s="12"/>
      <c r="BI113" s="12"/>
    </row>
    <row r="114">
      <c r="Z114" s="12"/>
      <c r="AA114" s="12"/>
      <c r="AT114" s="12"/>
      <c r="AU114" s="12"/>
      <c r="BH114" s="12"/>
      <c r="BI114" s="12"/>
    </row>
    <row r="115">
      <c r="Z115" s="12"/>
      <c r="AA115" s="12"/>
      <c r="AT115" s="12"/>
      <c r="AU115" s="12"/>
      <c r="BH115" s="12"/>
      <c r="BI115" s="12"/>
    </row>
    <row r="116">
      <c r="Z116" s="12"/>
      <c r="AA116" s="12"/>
      <c r="AT116" s="12"/>
      <c r="AU116" s="12"/>
      <c r="BH116" s="12"/>
      <c r="BI116" s="12"/>
    </row>
    <row r="117">
      <c r="Z117" s="12"/>
      <c r="AA117" s="12"/>
      <c r="AT117" s="12"/>
      <c r="AU117" s="12"/>
      <c r="BH117" s="12"/>
      <c r="BI117" s="12"/>
    </row>
    <row r="118">
      <c r="Z118" s="12"/>
      <c r="AA118" s="12"/>
      <c r="AT118" s="12"/>
      <c r="AU118" s="12"/>
      <c r="BH118" s="12"/>
      <c r="BI118" s="12"/>
    </row>
    <row r="119">
      <c r="Z119" s="12"/>
      <c r="AA119" s="12"/>
      <c r="AT119" s="12"/>
      <c r="AU119" s="12"/>
      <c r="BH119" s="12"/>
      <c r="BI119" s="12"/>
    </row>
    <row r="120">
      <c r="Z120" s="12"/>
      <c r="AA120" s="12"/>
      <c r="AT120" s="12"/>
      <c r="AU120" s="12"/>
      <c r="BH120" s="12"/>
      <c r="BI120" s="12"/>
    </row>
    <row r="121">
      <c r="Z121" s="12"/>
      <c r="AA121" s="12"/>
      <c r="AT121" s="12"/>
      <c r="AU121" s="12"/>
      <c r="BH121" s="12"/>
      <c r="BI121" s="12"/>
    </row>
    <row r="122">
      <c r="Z122" s="12"/>
      <c r="AA122" s="12"/>
      <c r="AT122" s="12"/>
      <c r="AU122" s="12"/>
      <c r="BH122" s="12"/>
      <c r="BI122" s="12"/>
    </row>
    <row r="123">
      <c r="Z123" s="12"/>
      <c r="AA123" s="12"/>
      <c r="AT123" s="12"/>
      <c r="AU123" s="12"/>
      <c r="BH123" s="12"/>
      <c r="BI123" s="12"/>
    </row>
    <row r="124">
      <c r="Z124" s="12"/>
      <c r="AA124" s="12"/>
      <c r="AT124" s="12"/>
      <c r="AU124" s="12"/>
      <c r="BH124" s="12"/>
      <c r="BI124" s="12"/>
    </row>
    <row r="125">
      <c r="Z125" s="12"/>
      <c r="AA125" s="12"/>
      <c r="AT125" s="12"/>
      <c r="AU125" s="12"/>
      <c r="BH125" s="12"/>
      <c r="BI125" s="12"/>
    </row>
    <row r="126">
      <c r="Z126" s="12"/>
      <c r="AA126" s="12"/>
      <c r="AT126" s="12"/>
      <c r="AU126" s="12"/>
      <c r="BH126" s="12"/>
      <c r="BI126" s="12"/>
    </row>
    <row r="127">
      <c r="Z127" s="12"/>
      <c r="AA127" s="12"/>
      <c r="AT127" s="12"/>
      <c r="AU127" s="12"/>
      <c r="BH127" s="12"/>
      <c r="BI127" s="12"/>
    </row>
    <row r="128">
      <c r="Z128" s="12"/>
      <c r="AA128" s="12"/>
      <c r="AT128" s="12"/>
      <c r="AU128" s="12"/>
      <c r="BH128" s="12"/>
      <c r="BI128" s="12"/>
    </row>
    <row r="129">
      <c r="Z129" s="12"/>
      <c r="AA129" s="12"/>
      <c r="AT129" s="12"/>
      <c r="AU129" s="12"/>
      <c r="BH129" s="12"/>
      <c r="BI129" s="12"/>
    </row>
    <row r="130">
      <c r="Z130" s="12"/>
      <c r="AA130" s="12"/>
      <c r="AT130" s="12"/>
      <c r="AU130" s="12"/>
      <c r="BH130" s="12"/>
      <c r="BI130" s="12"/>
    </row>
    <row r="131">
      <c r="Z131" s="12"/>
      <c r="AA131" s="12"/>
      <c r="AT131" s="12"/>
      <c r="AU131" s="12"/>
      <c r="BH131" s="12"/>
      <c r="BI131" s="12"/>
    </row>
    <row r="132">
      <c r="Z132" s="12"/>
      <c r="AA132" s="12"/>
      <c r="AT132" s="12"/>
      <c r="AU132" s="12"/>
      <c r="BH132" s="12"/>
      <c r="BI132" s="12"/>
    </row>
    <row r="133">
      <c r="Z133" s="12"/>
      <c r="AA133" s="12"/>
      <c r="AT133" s="12"/>
      <c r="AU133" s="12"/>
      <c r="BH133" s="12"/>
      <c r="BI133" s="12"/>
    </row>
    <row r="134">
      <c r="Z134" s="12"/>
      <c r="AA134" s="12"/>
      <c r="AT134" s="12"/>
      <c r="AU134" s="12"/>
      <c r="BH134" s="12"/>
      <c r="BI134" s="12"/>
    </row>
    <row r="135">
      <c r="Z135" s="12"/>
      <c r="AA135" s="12"/>
      <c r="AT135" s="12"/>
      <c r="AU135" s="12"/>
      <c r="BH135" s="12"/>
      <c r="BI135" s="12"/>
    </row>
    <row r="136">
      <c r="Z136" s="12"/>
      <c r="AA136" s="12"/>
      <c r="AT136" s="12"/>
      <c r="AU136" s="12"/>
      <c r="BH136" s="12"/>
      <c r="BI136" s="12"/>
    </row>
    <row r="137">
      <c r="Z137" s="12"/>
      <c r="AA137" s="12"/>
      <c r="AT137" s="12"/>
      <c r="AU137" s="12"/>
      <c r="BH137" s="12"/>
      <c r="BI137" s="12"/>
    </row>
    <row r="138">
      <c r="Z138" s="12"/>
      <c r="AA138" s="12"/>
      <c r="AT138" s="12"/>
      <c r="AU138" s="12"/>
      <c r="BH138" s="12"/>
      <c r="BI138" s="12"/>
    </row>
    <row r="139">
      <c r="Z139" s="12"/>
      <c r="AA139" s="12"/>
      <c r="AT139" s="12"/>
      <c r="AU139" s="12"/>
      <c r="BH139" s="12"/>
      <c r="BI139" s="12"/>
    </row>
    <row r="140">
      <c r="Z140" s="12"/>
      <c r="AA140" s="12"/>
      <c r="AT140" s="12"/>
      <c r="AU140" s="12"/>
      <c r="BH140" s="12"/>
      <c r="BI140" s="12"/>
    </row>
    <row r="141">
      <c r="Z141" s="12"/>
      <c r="AA141" s="12"/>
      <c r="AT141" s="12"/>
      <c r="AU141" s="12"/>
      <c r="BH141" s="12"/>
      <c r="BI141" s="12"/>
    </row>
    <row r="142">
      <c r="Z142" s="12"/>
      <c r="AA142" s="12"/>
      <c r="AT142" s="12"/>
      <c r="AU142" s="12"/>
      <c r="BH142" s="12"/>
      <c r="BI142" s="12"/>
    </row>
    <row r="143">
      <c r="Z143" s="12"/>
      <c r="AA143" s="12"/>
      <c r="AT143" s="12"/>
      <c r="AU143" s="12"/>
      <c r="BH143" s="12"/>
      <c r="BI143" s="12"/>
    </row>
    <row r="144">
      <c r="Z144" s="12"/>
      <c r="AA144" s="12"/>
      <c r="AT144" s="12"/>
      <c r="AU144" s="12"/>
      <c r="BH144" s="12"/>
      <c r="BI144" s="12"/>
    </row>
    <row r="145">
      <c r="Z145" s="12"/>
      <c r="AA145" s="12"/>
      <c r="AT145" s="12"/>
      <c r="AU145" s="12"/>
      <c r="BH145" s="12"/>
      <c r="BI145" s="12"/>
    </row>
    <row r="146">
      <c r="Z146" s="12"/>
      <c r="AA146" s="12"/>
      <c r="AT146" s="12"/>
      <c r="AU146" s="12"/>
      <c r="BH146" s="12"/>
      <c r="BI146" s="12"/>
    </row>
    <row r="147">
      <c r="Z147" s="12"/>
      <c r="AA147" s="12"/>
      <c r="AT147" s="12"/>
      <c r="AU147" s="12"/>
      <c r="BH147" s="12"/>
      <c r="BI147" s="12"/>
    </row>
    <row r="148">
      <c r="Z148" s="12"/>
      <c r="AA148" s="12"/>
      <c r="AT148" s="12"/>
      <c r="AU148" s="12"/>
      <c r="BH148" s="12"/>
      <c r="BI148" s="12"/>
    </row>
    <row r="149">
      <c r="Z149" s="12"/>
      <c r="AA149" s="12"/>
      <c r="AT149" s="12"/>
      <c r="AU149" s="12"/>
      <c r="BH149" s="12"/>
      <c r="BI149" s="12"/>
    </row>
    <row r="150">
      <c r="Z150" s="12"/>
      <c r="AA150" s="12"/>
      <c r="AT150" s="12"/>
      <c r="AU150" s="12"/>
      <c r="BH150" s="12"/>
      <c r="BI150" s="12"/>
    </row>
    <row r="151">
      <c r="Z151" s="12"/>
      <c r="AA151" s="12"/>
      <c r="AT151" s="12"/>
      <c r="AU151" s="12"/>
      <c r="BH151" s="12"/>
      <c r="BI151" s="12"/>
    </row>
    <row r="152">
      <c r="Z152" s="12"/>
      <c r="AA152" s="12"/>
      <c r="AT152" s="12"/>
      <c r="AU152" s="12"/>
      <c r="BH152" s="12"/>
      <c r="BI152" s="12"/>
    </row>
    <row r="153">
      <c r="Z153" s="12"/>
      <c r="AA153" s="12"/>
      <c r="AT153" s="12"/>
      <c r="AU153" s="12"/>
      <c r="BH153" s="12"/>
      <c r="BI153" s="12"/>
    </row>
    <row r="154">
      <c r="Z154" s="12"/>
      <c r="AA154" s="12"/>
      <c r="AT154" s="12"/>
      <c r="AU154" s="12"/>
      <c r="BH154" s="12"/>
      <c r="BI154" s="12"/>
    </row>
    <row r="155">
      <c r="Z155" s="12"/>
      <c r="AA155" s="12"/>
      <c r="AT155" s="12"/>
      <c r="AU155" s="12"/>
      <c r="BH155" s="12"/>
      <c r="BI155" s="12"/>
    </row>
    <row r="156">
      <c r="Z156" s="12"/>
      <c r="AA156" s="12"/>
      <c r="AT156" s="12"/>
      <c r="AU156" s="12"/>
      <c r="BH156" s="12"/>
      <c r="BI156" s="12"/>
    </row>
    <row r="157">
      <c r="Z157" s="12"/>
      <c r="AA157" s="12"/>
      <c r="AT157" s="12"/>
      <c r="AU157" s="12"/>
      <c r="BH157" s="12"/>
      <c r="BI157" s="12"/>
    </row>
    <row r="158">
      <c r="Z158" s="12"/>
      <c r="AA158" s="12"/>
      <c r="AT158" s="12"/>
      <c r="AU158" s="12"/>
      <c r="BH158" s="12"/>
      <c r="BI158" s="12"/>
    </row>
    <row r="159">
      <c r="Z159" s="12"/>
      <c r="AA159" s="12"/>
      <c r="AT159" s="12"/>
      <c r="AU159" s="12"/>
      <c r="BH159" s="12"/>
      <c r="BI159" s="12"/>
    </row>
    <row r="160">
      <c r="Z160" s="12"/>
      <c r="AA160" s="12"/>
      <c r="AT160" s="12"/>
      <c r="AU160" s="12"/>
      <c r="BH160" s="12"/>
      <c r="BI160" s="12"/>
    </row>
    <row r="161">
      <c r="Z161" s="12"/>
      <c r="AA161" s="12"/>
      <c r="AT161" s="12"/>
      <c r="AU161" s="12"/>
      <c r="BH161" s="12"/>
      <c r="BI161" s="12"/>
    </row>
    <row r="162">
      <c r="Z162" s="12"/>
      <c r="AA162" s="12"/>
      <c r="AT162" s="12"/>
      <c r="AU162" s="12"/>
      <c r="BH162" s="12"/>
      <c r="BI162" s="12"/>
    </row>
    <row r="163">
      <c r="Z163" s="12"/>
      <c r="AA163" s="12"/>
      <c r="AT163" s="12"/>
      <c r="AU163" s="12"/>
      <c r="BH163" s="12"/>
      <c r="BI163" s="12"/>
    </row>
    <row r="164">
      <c r="Z164" s="12"/>
      <c r="AA164" s="12"/>
      <c r="AT164" s="12"/>
      <c r="AU164" s="12"/>
      <c r="BH164" s="12"/>
      <c r="BI164" s="12"/>
    </row>
    <row r="165">
      <c r="Z165" s="12"/>
      <c r="AA165" s="12"/>
      <c r="AT165" s="12"/>
      <c r="AU165" s="12"/>
      <c r="BH165" s="12"/>
      <c r="BI165" s="12"/>
    </row>
    <row r="166">
      <c r="Z166" s="12"/>
      <c r="AA166" s="12"/>
      <c r="AT166" s="12"/>
      <c r="AU166" s="12"/>
      <c r="BH166" s="12"/>
      <c r="BI166" s="12"/>
    </row>
    <row r="167">
      <c r="Z167" s="12"/>
      <c r="AA167" s="12"/>
      <c r="AT167" s="12"/>
      <c r="AU167" s="12"/>
      <c r="BH167" s="12"/>
      <c r="BI167" s="12"/>
    </row>
    <row r="168">
      <c r="Z168" s="12"/>
      <c r="AA168" s="12"/>
      <c r="AT168" s="12"/>
      <c r="AU168" s="12"/>
      <c r="BH168" s="12"/>
      <c r="BI168" s="12"/>
    </row>
    <row r="169">
      <c r="Z169" s="12"/>
      <c r="AA169" s="12"/>
      <c r="AT169" s="12"/>
      <c r="AU169" s="12"/>
      <c r="BH169" s="12"/>
      <c r="BI169" s="12"/>
    </row>
    <row r="170">
      <c r="Z170" s="12"/>
      <c r="AA170" s="12"/>
      <c r="AT170" s="12"/>
      <c r="AU170" s="12"/>
      <c r="BH170" s="12"/>
      <c r="BI170" s="12"/>
    </row>
    <row r="171">
      <c r="Z171" s="12"/>
      <c r="AA171" s="12"/>
      <c r="AT171" s="12"/>
      <c r="AU171" s="12"/>
      <c r="BH171" s="12"/>
      <c r="BI171" s="12"/>
    </row>
    <row r="172">
      <c r="Z172" s="12"/>
      <c r="AA172" s="12"/>
      <c r="AT172" s="12"/>
      <c r="AU172" s="12"/>
      <c r="BH172" s="12"/>
      <c r="BI172" s="12"/>
    </row>
    <row r="173">
      <c r="Z173" s="12"/>
      <c r="AA173" s="12"/>
      <c r="AT173" s="12"/>
      <c r="AU173" s="12"/>
      <c r="BH173" s="12"/>
      <c r="BI173" s="12"/>
    </row>
    <row r="174">
      <c r="Z174" s="12"/>
      <c r="AA174" s="12"/>
      <c r="AT174" s="12"/>
      <c r="AU174" s="12"/>
      <c r="BH174" s="12"/>
      <c r="BI174" s="12"/>
    </row>
    <row r="175">
      <c r="Z175" s="12"/>
      <c r="AA175" s="12"/>
      <c r="AT175" s="12"/>
      <c r="AU175" s="12"/>
      <c r="BH175" s="12"/>
      <c r="BI175" s="12"/>
    </row>
    <row r="176">
      <c r="Z176" s="12"/>
      <c r="AA176" s="12"/>
      <c r="AT176" s="12"/>
      <c r="AU176" s="12"/>
      <c r="BH176" s="12"/>
      <c r="BI176" s="12"/>
    </row>
    <row r="177">
      <c r="Z177" s="12"/>
      <c r="AA177" s="12"/>
      <c r="AT177" s="12"/>
      <c r="AU177" s="12"/>
      <c r="BH177" s="12"/>
      <c r="BI177" s="12"/>
    </row>
    <row r="178">
      <c r="Z178" s="12"/>
      <c r="AA178" s="12"/>
      <c r="AT178" s="12"/>
      <c r="AU178" s="12"/>
      <c r="BH178" s="12"/>
      <c r="BI178" s="12"/>
    </row>
    <row r="179">
      <c r="Z179" s="12"/>
      <c r="AA179" s="12"/>
      <c r="AT179" s="12"/>
      <c r="AU179" s="12"/>
      <c r="BH179" s="12"/>
      <c r="BI179" s="12"/>
    </row>
    <row r="180">
      <c r="Z180" s="12"/>
      <c r="AA180" s="12"/>
      <c r="AT180" s="12"/>
      <c r="AU180" s="12"/>
      <c r="BH180" s="12"/>
      <c r="BI180" s="12"/>
    </row>
    <row r="181">
      <c r="Z181" s="12"/>
      <c r="AA181" s="12"/>
      <c r="AT181" s="12"/>
      <c r="AU181" s="12"/>
      <c r="BH181" s="12"/>
      <c r="BI181" s="12"/>
    </row>
    <row r="182">
      <c r="Z182" s="12"/>
      <c r="AA182" s="12"/>
      <c r="AT182" s="12"/>
      <c r="AU182" s="12"/>
      <c r="BH182" s="12"/>
      <c r="BI182" s="12"/>
    </row>
    <row r="183">
      <c r="Z183" s="12"/>
      <c r="AA183" s="12"/>
      <c r="AT183" s="12"/>
      <c r="AU183" s="12"/>
      <c r="BH183" s="12"/>
      <c r="BI183" s="12"/>
    </row>
    <row r="184">
      <c r="Z184" s="12"/>
      <c r="AA184" s="12"/>
      <c r="AT184" s="12"/>
      <c r="AU184" s="12"/>
      <c r="BH184" s="12"/>
      <c r="BI184" s="12"/>
    </row>
    <row r="185">
      <c r="Z185" s="12"/>
      <c r="AA185" s="12"/>
      <c r="AT185" s="12"/>
      <c r="AU185" s="12"/>
      <c r="BH185" s="12"/>
      <c r="BI185" s="12"/>
    </row>
    <row r="186">
      <c r="Z186" s="12"/>
      <c r="AA186" s="12"/>
      <c r="AT186" s="12"/>
      <c r="AU186" s="12"/>
      <c r="BH186" s="12"/>
      <c r="BI186" s="12"/>
    </row>
    <row r="187">
      <c r="Z187" s="12"/>
      <c r="AA187" s="12"/>
      <c r="AT187" s="12"/>
      <c r="AU187" s="12"/>
      <c r="BH187" s="12"/>
      <c r="BI187" s="12"/>
    </row>
    <row r="188">
      <c r="Z188" s="12"/>
      <c r="AA188" s="12"/>
      <c r="AT188" s="12"/>
      <c r="AU188" s="12"/>
      <c r="BH188" s="12"/>
      <c r="BI188" s="12"/>
    </row>
    <row r="189">
      <c r="Z189" s="12"/>
      <c r="AA189" s="12"/>
      <c r="AT189" s="12"/>
      <c r="AU189" s="12"/>
      <c r="BH189" s="12"/>
      <c r="BI189" s="12"/>
    </row>
    <row r="190">
      <c r="Z190" s="12"/>
      <c r="AA190" s="12"/>
      <c r="AT190" s="12"/>
      <c r="AU190" s="12"/>
      <c r="BH190" s="12"/>
      <c r="BI190" s="12"/>
    </row>
    <row r="191">
      <c r="Z191" s="12"/>
      <c r="AA191" s="12"/>
      <c r="AT191" s="12"/>
      <c r="AU191" s="12"/>
      <c r="BH191" s="12"/>
      <c r="BI191" s="12"/>
    </row>
    <row r="192">
      <c r="Z192" s="12"/>
      <c r="AA192" s="12"/>
      <c r="AT192" s="12"/>
      <c r="AU192" s="12"/>
      <c r="BH192" s="12"/>
      <c r="BI192" s="12"/>
    </row>
    <row r="193">
      <c r="Z193" s="12"/>
      <c r="AA193" s="12"/>
      <c r="AT193" s="12"/>
      <c r="AU193" s="12"/>
      <c r="BH193" s="12"/>
      <c r="BI193" s="12"/>
    </row>
    <row r="194">
      <c r="Z194" s="12"/>
      <c r="AA194" s="12"/>
      <c r="AT194" s="12"/>
      <c r="AU194" s="12"/>
      <c r="BH194" s="12"/>
      <c r="BI194" s="12"/>
    </row>
    <row r="195">
      <c r="Z195" s="12"/>
      <c r="AA195" s="12"/>
      <c r="AT195" s="12"/>
      <c r="AU195" s="12"/>
      <c r="BH195" s="12"/>
      <c r="BI195" s="12"/>
    </row>
    <row r="196">
      <c r="Z196" s="12"/>
      <c r="AA196" s="12"/>
      <c r="AT196" s="12"/>
      <c r="AU196" s="12"/>
      <c r="BH196" s="12"/>
      <c r="BI196" s="12"/>
    </row>
    <row r="197">
      <c r="Z197" s="12"/>
      <c r="AA197" s="12"/>
      <c r="AT197" s="12"/>
      <c r="AU197" s="12"/>
      <c r="BH197" s="12"/>
      <c r="BI197" s="12"/>
    </row>
    <row r="198">
      <c r="Z198" s="12"/>
      <c r="AA198" s="12"/>
      <c r="AT198" s="12"/>
      <c r="AU198" s="12"/>
      <c r="BH198" s="12"/>
      <c r="BI198" s="12"/>
    </row>
    <row r="199">
      <c r="Z199" s="12"/>
      <c r="AA199" s="12"/>
      <c r="AT199" s="12"/>
      <c r="AU199" s="12"/>
      <c r="BH199" s="12"/>
      <c r="BI199" s="12"/>
    </row>
    <row r="200">
      <c r="Z200" s="12"/>
      <c r="AA200" s="12"/>
      <c r="AT200" s="12"/>
      <c r="AU200" s="12"/>
      <c r="BH200" s="12"/>
      <c r="BI200" s="12"/>
    </row>
    <row r="201">
      <c r="Z201" s="12"/>
      <c r="AA201" s="12"/>
      <c r="AT201" s="12"/>
      <c r="AU201" s="12"/>
      <c r="BH201" s="12"/>
      <c r="BI201" s="12"/>
    </row>
    <row r="202">
      <c r="Z202" s="12"/>
      <c r="AA202" s="12"/>
      <c r="AT202" s="12"/>
      <c r="AU202" s="12"/>
      <c r="BH202" s="12"/>
      <c r="BI202" s="12"/>
    </row>
    <row r="203">
      <c r="Z203" s="12"/>
      <c r="AA203" s="12"/>
      <c r="AT203" s="12"/>
      <c r="AU203" s="12"/>
      <c r="BH203" s="12"/>
      <c r="BI203" s="12"/>
    </row>
    <row r="204">
      <c r="Z204" s="12"/>
      <c r="AA204" s="12"/>
      <c r="AT204" s="12"/>
      <c r="AU204" s="12"/>
      <c r="BH204" s="12"/>
      <c r="BI204" s="12"/>
    </row>
    <row r="205">
      <c r="Z205" s="12"/>
      <c r="AA205" s="12"/>
      <c r="AT205" s="12"/>
      <c r="AU205" s="12"/>
      <c r="BH205" s="12"/>
      <c r="BI205" s="12"/>
    </row>
    <row r="206">
      <c r="Z206" s="12"/>
      <c r="AA206" s="12"/>
      <c r="AT206" s="12"/>
      <c r="AU206" s="12"/>
      <c r="BH206" s="12"/>
      <c r="BI206" s="12"/>
    </row>
    <row r="207">
      <c r="Z207" s="12"/>
      <c r="AA207" s="12"/>
      <c r="AT207" s="12"/>
      <c r="AU207" s="12"/>
      <c r="BH207" s="12"/>
      <c r="BI207" s="12"/>
    </row>
    <row r="208">
      <c r="Z208" s="12"/>
      <c r="AA208" s="12"/>
      <c r="AT208" s="12"/>
      <c r="AU208" s="12"/>
      <c r="BH208" s="12"/>
      <c r="BI208" s="12"/>
    </row>
    <row r="209">
      <c r="Z209" s="12"/>
      <c r="AA209" s="12"/>
      <c r="AT209" s="12"/>
      <c r="AU209" s="12"/>
      <c r="BH209" s="12"/>
      <c r="BI209" s="12"/>
    </row>
    <row r="210">
      <c r="Z210" s="12"/>
      <c r="AA210" s="12"/>
      <c r="AT210" s="12"/>
      <c r="AU210" s="12"/>
      <c r="BH210" s="12"/>
      <c r="BI210" s="12"/>
    </row>
    <row r="211">
      <c r="Z211" s="12"/>
      <c r="AA211" s="12"/>
      <c r="AT211" s="12"/>
      <c r="AU211" s="12"/>
      <c r="BH211" s="12"/>
      <c r="BI211" s="12"/>
    </row>
    <row r="212">
      <c r="Z212" s="12"/>
      <c r="AA212" s="12"/>
      <c r="AT212" s="12"/>
      <c r="AU212" s="12"/>
      <c r="BH212" s="12"/>
      <c r="BI212" s="12"/>
    </row>
    <row r="213">
      <c r="Z213" s="12"/>
      <c r="AA213" s="12"/>
      <c r="AT213" s="12"/>
      <c r="AU213" s="12"/>
      <c r="BH213" s="12"/>
      <c r="BI213" s="12"/>
    </row>
    <row r="214">
      <c r="Z214" s="12"/>
      <c r="AA214" s="12"/>
      <c r="AT214" s="12"/>
      <c r="AU214" s="12"/>
      <c r="BH214" s="12"/>
      <c r="BI214" s="12"/>
    </row>
    <row r="215">
      <c r="Z215" s="12"/>
      <c r="AA215" s="12"/>
      <c r="AT215" s="12"/>
      <c r="AU215" s="12"/>
      <c r="BH215" s="12"/>
      <c r="BI215" s="12"/>
    </row>
    <row r="216">
      <c r="Z216" s="12"/>
      <c r="AA216" s="12"/>
      <c r="AT216" s="12"/>
      <c r="AU216" s="12"/>
      <c r="BH216" s="12"/>
      <c r="BI216" s="12"/>
    </row>
    <row r="217">
      <c r="Z217" s="12"/>
      <c r="AA217" s="12"/>
      <c r="AT217" s="12"/>
      <c r="AU217" s="12"/>
      <c r="BH217" s="12"/>
      <c r="BI217" s="12"/>
    </row>
    <row r="218">
      <c r="Z218" s="12"/>
      <c r="AA218" s="12"/>
      <c r="AT218" s="12"/>
      <c r="AU218" s="12"/>
      <c r="BH218" s="12"/>
      <c r="BI218" s="12"/>
    </row>
    <row r="219">
      <c r="Z219" s="12"/>
      <c r="AA219" s="12"/>
      <c r="AT219" s="12"/>
      <c r="AU219" s="12"/>
      <c r="BH219" s="12"/>
      <c r="BI219" s="12"/>
    </row>
    <row r="220">
      <c r="Z220" s="12"/>
      <c r="AA220" s="12"/>
      <c r="AT220" s="12"/>
      <c r="AU220" s="12"/>
      <c r="BH220" s="12"/>
      <c r="BI220" s="12"/>
    </row>
    <row r="221">
      <c r="Z221" s="12"/>
      <c r="AA221" s="12"/>
      <c r="AT221" s="12"/>
      <c r="AU221" s="12"/>
      <c r="BH221" s="12"/>
      <c r="BI221" s="12"/>
    </row>
    <row r="222">
      <c r="Z222" s="12"/>
      <c r="AA222" s="12"/>
      <c r="AT222" s="12"/>
      <c r="AU222" s="12"/>
      <c r="BH222" s="12"/>
      <c r="BI222" s="12"/>
    </row>
    <row r="223">
      <c r="Z223" s="12"/>
      <c r="AA223" s="12"/>
      <c r="AT223" s="12"/>
      <c r="AU223" s="12"/>
      <c r="BH223" s="12"/>
      <c r="BI223" s="12"/>
    </row>
    <row r="224">
      <c r="Z224" s="12"/>
      <c r="AA224" s="12"/>
      <c r="AT224" s="12"/>
      <c r="AU224" s="12"/>
      <c r="BH224" s="12"/>
      <c r="BI224" s="12"/>
    </row>
    <row r="225">
      <c r="Z225" s="12"/>
      <c r="AA225" s="12"/>
      <c r="AT225" s="12"/>
      <c r="AU225" s="12"/>
      <c r="BH225" s="12"/>
      <c r="BI225" s="12"/>
    </row>
    <row r="226">
      <c r="Z226" s="12"/>
      <c r="AA226" s="12"/>
      <c r="AT226" s="12"/>
      <c r="AU226" s="12"/>
      <c r="BH226" s="12"/>
      <c r="BI226" s="12"/>
    </row>
    <row r="227">
      <c r="Z227" s="12"/>
      <c r="AA227" s="12"/>
      <c r="AT227" s="12"/>
      <c r="AU227" s="12"/>
      <c r="BH227" s="12"/>
      <c r="BI227" s="12"/>
    </row>
    <row r="228">
      <c r="Z228" s="12"/>
      <c r="AA228" s="12"/>
      <c r="AT228" s="12"/>
      <c r="AU228" s="12"/>
      <c r="BH228" s="12"/>
      <c r="BI228" s="12"/>
    </row>
    <row r="229">
      <c r="Z229" s="12"/>
      <c r="AA229" s="12"/>
      <c r="AT229" s="12"/>
      <c r="AU229" s="12"/>
      <c r="BH229" s="12"/>
      <c r="BI229" s="12"/>
    </row>
    <row r="230">
      <c r="Z230" s="12"/>
      <c r="AA230" s="12"/>
      <c r="AT230" s="12"/>
      <c r="AU230" s="12"/>
      <c r="BH230" s="12"/>
      <c r="BI230" s="12"/>
    </row>
    <row r="231">
      <c r="Z231" s="12"/>
      <c r="AA231" s="12"/>
      <c r="AT231" s="12"/>
      <c r="AU231" s="12"/>
      <c r="BH231" s="12"/>
      <c r="BI231" s="12"/>
    </row>
    <row r="232">
      <c r="Z232" s="12"/>
      <c r="AA232" s="12"/>
      <c r="AT232" s="12"/>
      <c r="AU232" s="12"/>
      <c r="BH232" s="12"/>
      <c r="BI232" s="12"/>
    </row>
    <row r="233">
      <c r="Z233" s="12"/>
      <c r="AA233" s="12"/>
      <c r="AT233" s="12"/>
      <c r="AU233" s="12"/>
      <c r="BH233" s="12"/>
      <c r="BI233" s="12"/>
    </row>
    <row r="234">
      <c r="Z234" s="12"/>
      <c r="AA234" s="12"/>
      <c r="AT234" s="12"/>
      <c r="AU234" s="12"/>
      <c r="BH234" s="12"/>
      <c r="BI234" s="12"/>
    </row>
    <row r="235">
      <c r="Z235" s="12"/>
      <c r="AA235" s="12"/>
      <c r="AT235" s="12"/>
      <c r="AU235" s="12"/>
      <c r="BH235" s="12"/>
      <c r="BI235" s="12"/>
    </row>
    <row r="236">
      <c r="Z236" s="12"/>
      <c r="AA236" s="12"/>
      <c r="AT236" s="12"/>
      <c r="AU236" s="12"/>
      <c r="BH236" s="12"/>
      <c r="BI236" s="12"/>
    </row>
    <row r="237">
      <c r="Z237" s="12"/>
      <c r="AA237" s="12"/>
      <c r="AT237" s="12"/>
      <c r="AU237" s="12"/>
      <c r="BH237" s="12"/>
      <c r="BI237" s="12"/>
    </row>
    <row r="238">
      <c r="Z238" s="12"/>
      <c r="AA238" s="12"/>
      <c r="AT238" s="12"/>
      <c r="AU238" s="12"/>
      <c r="BH238" s="12"/>
      <c r="BI238" s="12"/>
    </row>
    <row r="239">
      <c r="Z239" s="12"/>
      <c r="AA239" s="12"/>
      <c r="AT239" s="12"/>
      <c r="AU239" s="12"/>
      <c r="BH239" s="12"/>
      <c r="BI239" s="12"/>
    </row>
    <row r="240">
      <c r="Z240" s="12"/>
      <c r="AA240" s="12"/>
      <c r="AT240" s="12"/>
      <c r="AU240" s="12"/>
      <c r="BH240" s="12"/>
      <c r="BI240" s="12"/>
    </row>
    <row r="241">
      <c r="Z241" s="12"/>
      <c r="AA241" s="12"/>
      <c r="AT241" s="12"/>
      <c r="AU241" s="12"/>
      <c r="BH241" s="12"/>
      <c r="BI241" s="12"/>
    </row>
    <row r="242">
      <c r="Z242" s="12"/>
      <c r="AA242" s="12"/>
      <c r="AT242" s="12"/>
      <c r="AU242" s="12"/>
      <c r="BH242" s="12"/>
      <c r="BI242" s="12"/>
    </row>
    <row r="243">
      <c r="Z243" s="12"/>
      <c r="AA243" s="12"/>
      <c r="AT243" s="12"/>
      <c r="AU243" s="12"/>
      <c r="BH243" s="12"/>
      <c r="BI243" s="12"/>
    </row>
    <row r="244">
      <c r="Z244" s="12"/>
      <c r="AA244" s="12"/>
      <c r="AT244" s="12"/>
      <c r="AU244" s="12"/>
      <c r="BH244" s="12"/>
      <c r="BI244" s="12"/>
    </row>
    <row r="245">
      <c r="Z245" s="12"/>
      <c r="AA245" s="12"/>
      <c r="AT245" s="12"/>
      <c r="AU245" s="12"/>
      <c r="BH245" s="12"/>
      <c r="BI245" s="12"/>
    </row>
    <row r="246">
      <c r="Z246" s="12"/>
      <c r="AA246" s="12"/>
      <c r="AT246" s="12"/>
      <c r="AU246" s="12"/>
      <c r="BH246" s="12"/>
      <c r="BI246" s="12"/>
    </row>
    <row r="247">
      <c r="Z247" s="12"/>
      <c r="AA247" s="12"/>
      <c r="AT247" s="12"/>
      <c r="AU247" s="12"/>
      <c r="BH247" s="12"/>
      <c r="BI247" s="12"/>
    </row>
    <row r="248">
      <c r="Z248" s="12"/>
      <c r="AA248" s="12"/>
      <c r="AT248" s="12"/>
      <c r="AU248" s="12"/>
      <c r="BH248" s="12"/>
      <c r="BI248" s="12"/>
    </row>
    <row r="249">
      <c r="Z249" s="12"/>
      <c r="AA249" s="12"/>
      <c r="AT249" s="12"/>
      <c r="AU249" s="12"/>
      <c r="BH249" s="12"/>
      <c r="BI249" s="12"/>
    </row>
    <row r="250">
      <c r="Z250" s="12"/>
      <c r="AA250" s="12"/>
      <c r="AT250" s="12"/>
      <c r="AU250" s="12"/>
      <c r="BH250" s="12"/>
      <c r="BI250" s="12"/>
    </row>
    <row r="251">
      <c r="Z251" s="12"/>
      <c r="AA251" s="12"/>
      <c r="AT251" s="12"/>
      <c r="AU251" s="12"/>
      <c r="BH251" s="12"/>
      <c r="BI251" s="12"/>
    </row>
    <row r="252">
      <c r="Z252" s="12"/>
      <c r="AA252" s="12"/>
      <c r="AT252" s="12"/>
      <c r="AU252" s="12"/>
      <c r="BH252" s="12"/>
      <c r="BI252" s="12"/>
    </row>
    <row r="253">
      <c r="Z253" s="12"/>
      <c r="AA253" s="12"/>
      <c r="AT253" s="12"/>
      <c r="AU253" s="12"/>
      <c r="BH253" s="12"/>
      <c r="BI253" s="12"/>
    </row>
    <row r="254">
      <c r="Z254" s="12"/>
      <c r="AA254" s="12"/>
      <c r="AT254" s="12"/>
      <c r="AU254" s="12"/>
      <c r="BH254" s="12"/>
      <c r="BI254" s="12"/>
    </row>
    <row r="255">
      <c r="Z255" s="12"/>
      <c r="AA255" s="12"/>
      <c r="AT255" s="12"/>
      <c r="AU255" s="12"/>
      <c r="BH255" s="12"/>
      <c r="BI255" s="12"/>
    </row>
    <row r="256">
      <c r="Z256" s="12"/>
      <c r="AA256" s="12"/>
      <c r="AT256" s="12"/>
      <c r="AU256" s="12"/>
      <c r="BH256" s="12"/>
      <c r="BI256" s="12"/>
    </row>
    <row r="257">
      <c r="Z257" s="12"/>
      <c r="AA257" s="12"/>
      <c r="AT257" s="12"/>
      <c r="AU257" s="12"/>
      <c r="BH257" s="12"/>
      <c r="BI257" s="12"/>
    </row>
    <row r="258">
      <c r="Z258" s="12"/>
      <c r="AA258" s="12"/>
      <c r="AT258" s="12"/>
      <c r="AU258" s="12"/>
      <c r="BH258" s="12"/>
      <c r="BI258" s="12"/>
    </row>
    <row r="259">
      <c r="Z259" s="12"/>
      <c r="AA259" s="12"/>
      <c r="AT259" s="12"/>
      <c r="AU259" s="12"/>
      <c r="BH259" s="12"/>
      <c r="BI259" s="12"/>
    </row>
    <row r="260">
      <c r="Z260" s="12"/>
      <c r="AA260" s="12"/>
      <c r="AT260" s="12"/>
      <c r="AU260" s="12"/>
      <c r="BH260" s="12"/>
      <c r="BI260" s="12"/>
    </row>
    <row r="261">
      <c r="Z261" s="12"/>
      <c r="AA261" s="12"/>
      <c r="AT261" s="12"/>
      <c r="AU261" s="12"/>
      <c r="BH261" s="12"/>
      <c r="BI261" s="12"/>
    </row>
    <row r="262">
      <c r="Z262" s="12"/>
      <c r="AA262" s="12"/>
      <c r="AT262" s="12"/>
      <c r="AU262" s="12"/>
      <c r="BH262" s="12"/>
      <c r="BI262" s="12"/>
    </row>
    <row r="263">
      <c r="Z263" s="12"/>
      <c r="AA263" s="12"/>
      <c r="AT263" s="12"/>
      <c r="AU263" s="12"/>
      <c r="BH263" s="12"/>
      <c r="BI263" s="12"/>
    </row>
    <row r="264">
      <c r="Z264" s="12"/>
      <c r="AA264" s="12"/>
      <c r="AT264" s="12"/>
      <c r="AU264" s="12"/>
      <c r="BH264" s="12"/>
      <c r="BI264" s="12"/>
    </row>
    <row r="265">
      <c r="Z265" s="12"/>
      <c r="AA265" s="12"/>
      <c r="AT265" s="12"/>
      <c r="AU265" s="12"/>
      <c r="BH265" s="12"/>
      <c r="BI265" s="12"/>
    </row>
    <row r="266">
      <c r="Z266" s="12"/>
      <c r="AA266" s="12"/>
      <c r="AT266" s="12"/>
      <c r="AU266" s="12"/>
      <c r="BH266" s="12"/>
      <c r="BI266" s="12"/>
    </row>
    <row r="267">
      <c r="Z267" s="12"/>
      <c r="AA267" s="12"/>
      <c r="AT267" s="12"/>
      <c r="AU267" s="12"/>
      <c r="BH267" s="12"/>
      <c r="BI267" s="12"/>
    </row>
    <row r="268">
      <c r="Z268" s="12"/>
      <c r="AA268" s="12"/>
      <c r="AT268" s="12"/>
      <c r="AU268" s="12"/>
      <c r="BH268" s="12"/>
      <c r="BI268" s="12"/>
    </row>
    <row r="269">
      <c r="Z269" s="12"/>
      <c r="AA269" s="12"/>
      <c r="AT269" s="12"/>
      <c r="AU269" s="12"/>
      <c r="BH269" s="12"/>
      <c r="BI269" s="12"/>
    </row>
    <row r="270">
      <c r="Z270" s="12"/>
      <c r="AA270" s="12"/>
      <c r="AT270" s="12"/>
      <c r="AU270" s="12"/>
      <c r="BH270" s="12"/>
      <c r="BI270" s="12"/>
    </row>
    <row r="271">
      <c r="Z271" s="12"/>
      <c r="AA271" s="12"/>
      <c r="AT271" s="12"/>
      <c r="AU271" s="12"/>
      <c r="BH271" s="12"/>
      <c r="BI271" s="12"/>
    </row>
    <row r="272">
      <c r="Z272" s="12"/>
      <c r="AA272" s="12"/>
      <c r="AT272" s="12"/>
      <c r="AU272" s="12"/>
      <c r="BH272" s="12"/>
      <c r="BI272" s="12"/>
    </row>
    <row r="273">
      <c r="Z273" s="12"/>
      <c r="AA273" s="12"/>
      <c r="AT273" s="12"/>
      <c r="AU273" s="12"/>
      <c r="BH273" s="12"/>
      <c r="BI273" s="12"/>
    </row>
    <row r="274">
      <c r="Z274" s="12"/>
      <c r="AA274" s="12"/>
      <c r="AT274" s="12"/>
      <c r="AU274" s="12"/>
      <c r="BH274" s="12"/>
      <c r="BI274" s="12"/>
    </row>
    <row r="275">
      <c r="Z275" s="12"/>
      <c r="AA275" s="12"/>
      <c r="AT275" s="12"/>
      <c r="AU275" s="12"/>
      <c r="BH275" s="12"/>
      <c r="BI275" s="12"/>
    </row>
    <row r="276">
      <c r="Z276" s="12"/>
      <c r="AA276" s="12"/>
      <c r="AT276" s="12"/>
      <c r="AU276" s="12"/>
      <c r="BH276" s="12"/>
      <c r="BI276" s="12"/>
    </row>
    <row r="277">
      <c r="Z277" s="12"/>
      <c r="AA277" s="12"/>
      <c r="AT277" s="12"/>
      <c r="AU277" s="12"/>
      <c r="BH277" s="12"/>
      <c r="BI277" s="12"/>
    </row>
    <row r="278">
      <c r="Z278" s="12"/>
      <c r="AA278" s="12"/>
      <c r="AT278" s="12"/>
      <c r="AU278" s="12"/>
      <c r="BH278" s="12"/>
      <c r="BI278" s="12"/>
    </row>
    <row r="279">
      <c r="Z279" s="12"/>
      <c r="AA279" s="12"/>
      <c r="AT279" s="12"/>
      <c r="AU279" s="12"/>
      <c r="BH279" s="12"/>
      <c r="BI279" s="12"/>
    </row>
    <row r="280">
      <c r="Z280" s="12"/>
      <c r="AA280" s="12"/>
      <c r="AT280" s="12"/>
      <c r="AU280" s="12"/>
      <c r="BH280" s="12"/>
      <c r="BI280" s="12"/>
    </row>
    <row r="281">
      <c r="Z281" s="12"/>
      <c r="AA281" s="12"/>
      <c r="AT281" s="12"/>
      <c r="AU281" s="12"/>
      <c r="BH281" s="12"/>
      <c r="BI281" s="12"/>
    </row>
    <row r="282">
      <c r="Z282" s="12"/>
      <c r="AA282" s="12"/>
      <c r="AT282" s="12"/>
      <c r="AU282" s="12"/>
      <c r="BH282" s="12"/>
      <c r="BI282" s="12"/>
    </row>
    <row r="283">
      <c r="Z283" s="12"/>
      <c r="AA283" s="12"/>
      <c r="AT283" s="12"/>
      <c r="AU283" s="12"/>
      <c r="BH283" s="12"/>
      <c r="BI283" s="12"/>
    </row>
    <row r="284">
      <c r="Z284" s="12"/>
      <c r="AA284" s="12"/>
      <c r="AT284" s="12"/>
      <c r="AU284" s="12"/>
      <c r="BH284" s="12"/>
      <c r="BI284" s="12"/>
    </row>
    <row r="285">
      <c r="Z285" s="12"/>
      <c r="AA285" s="12"/>
      <c r="AT285" s="12"/>
      <c r="AU285" s="12"/>
      <c r="BH285" s="12"/>
      <c r="BI285" s="12"/>
    </row>
    <row r="286">
      <c r="Z286" s="12"/>
      <c r="AA286" s="12"/>
      <c r="AT286" s="12"/>
      <c r="AU286" s="12"/>
      <c r="BH286" s="12"/>
      <c r="BI286" s="12"/>
    </row>
    <row r="287">
      <c r="Z287" s="12"/>
      <c r="AA287" s="12"/>
      <c r="AT287" s="12"/>
      <c r="AU287" s="12"/>
      <c r="BH287" s="12"/>
      <c r="BI287" s="12"/>
    </row>
    <row r="288">
      <c r="Z288" s="12"/>
      <c r="AA288" s="12"/>
      <c r="AT288" s="12"/>
      <c r="AU288" s="12"/>
      <c r="BH288" s="12"/>
      <c r="BI288" s="12"/>
    </row>
    <row r="289">
      <c r="Z289" s="12"/>
      <c r="AA289" s="12"/>
      <c r="AT289" s="12"/>
      <c r="AU289" s="12"/>
      <c r="BH289" s="12"/>
      <c r="BI289" s="12"/>
    </row>
    <row r="290">
      <c r="Z290" s="12"/>
      <c r="AA290" s="12"/>
      <c r="AT290" s="12"/>
      <c r="AU290" s="12"/>
      <c r="BH290" s="12"/>
      <c r="BI290" s="12"/>
    </row>
    <row r="291">
      <c r="Z291" s="12"/>
      <c r="AA291" s="12"/>
      <c r="AT291" s="12"/>
      <c r="AU291" s="12"/>
      <c r="BH291" s="12"/>
      <c r="BI291" s="12"/>
    </row>
    <row r="292">
      <c r="Z292" s="12"/>
      <c r="AA292" s="12"/>
      <c r="AT292" s="12"/>
      <c r="AU292" s="12"/>
      <c r="BH292" s="12"/>
      <c r="BI292" s="12"/>
    </row>
    <row r="293">
      <c r="Z293" s="12"/>
      <c r="AA293" s="12"/>
      <c r="AT293" s="12"/>
      <c r="AU293" s="12"/>
      <c r="BH293" s="12"/>
      <c r="BI293" s="12"/>
    </row>
    <row r="294">
      <c r="Z294" s="12"/>
      <c r="AA294" s="12"/>
      <c r="AT294" s="12"/>
      <c r="AU294" s="12"/>
      <c r="BH294" s="12"/>
      <c r="BI294" s="12"/>
    </row>
    <row r="295">
      <c r="Z295" s="12"/>
      <c r="AA295" s="12"/>
      <c r="AT295" s="12"/>
      <c r="AU295" s="12"/>
      <c r="BH295" s="12"/>
      <c r="BI295" s="12"/>
    </row>
    <row r="296">
      <c r="Z296" s="12"/>
      <c r="AA296" s="12"/>
      <c r="AT296" s="12"/>
      <c r="AU296" s="12"/>
      <c r="BH296" s="12"/>
      <c r="BI296" s="12"/>
    </row>
    <row r="297">
      <c r="Z297" s="12"/>
      <c r="AA297" s="12"/>
      <c r="AT297" s="12"/>
      <c r="AU297" s="12"/>
      <c r="BH297" s="12"/>
      <c r="BI297" s="12"/>
    </row>
    <row r="298">
      <c r="Z298" s="12"/>
      <c r="AA298" s="12"/>
      <c r="AT298" s="12"/>
      <c r="AU298" s="12"/>
      <c r="BH298" s="12"/>
      <c r="BI298" s="12"/>
    </row>
    <row r="299">
      <c r="Z299" s="12"/>
      <c r="AA299" s="12"/>
      <c r="AT299" s="12"/>
      <c r="AU299" s="12"/>
      <c r="BH299" s="12"/>
      <c r="BI299" s="12"/>
    </row>
    <row r="300">
      <c r="Z300" s="12"/>
      <c r="AA300" s="12"/>
      <c r="AT300" s="12"/>
      <c r="AU300" s="12"/>
      <c r="BH300" s="12"/>
      <c r="BI300" s="12"/>
    </row>
    <row r="301">
      <c r="Z301" s="12"/>
      <c r="AA301" s="12"/>
      <c r="AT301" s="12"/>
      <c r="AU301" s="12"/>
      <c r="BH301" s="12"/>
      <c r="BI301" s="12"/>
    </row>
    <row r="302">
      <c r="Z302" s="12"/>
      <c r="AA302" s="12"/>
      <c r="AT302" s="12"/>
      <c r="AU302" s="12"/>
      <c r="BH302" s="12"/>
      <c r="BI302" s="12"/>
    </row>
    <row r="303">
      <c r="Z303" s="12"/>
      <c r="AA303" s="12"/>
      <c r="AT303" s="12"/>
      <c r="AU303" s="12"/>
      <c r="BH303" s="12"/>
      <c r="BI303" s="12"/>
    </row>
    <row r="304">
      <c r="Z304" s="12"/>
      <c r="AA304" s="12"/>
      <c r="AT304" s="12"/>
      <c r="AU304" s="12"/>
      <c r="BH304" s="12"/>
      <c r="BI304" s="12"/>
    </row>
    <row r="305">
      <c r="Z305" s="12"/>
      <c r="AA305" s="12"/>
      <c r="AT305" s="12"/>
      <c r="AU305" s="12"/>
      <c r="BH305" s="12"/>
      <c r="BI305" s="12"/>
    </row>
    <row r="306">
      <c r="Z306" s="12"/>
      <c r="AA306" s="12"/>
      <c r="AT306" s="12"/>
      <c r="AU306" s="12"/>
      <c r="BH306" s="12"/>
      <c r="BI306" s="12"/>
    </row>
    <row r="307">
      <c r="Z307" s="12"/>
      <c r="AA307" s="12"/>
      <c r="AT307" s="12"/>
      <c r="AU307" s="12"/>
      <c r="BH307" s="12"/>
      <c r="BI307" s="12"/>
    </row>
    <row r="308">
      <c r="Z308" s="12"/>
      <c r="AA308" s="12"/>
      <c r="AT308" s="12"/>
      <c r="AU308" s="12"/>
      <c r="BH308" s="12"/>
      <c r="BI308" s="12"/>
    </row>
    <row r="309">
      <c r="Z309" s="12"/>
      <c r="AA309" s="12"/>
      <c r="AT309" s="12"/>
      <c r="AU309" s="12"/>
      <c r="BH309" s="12"/>
      <c r="BI309" s="12"/>
    </row>
    <row r="310">
      <c r="Z310" s="12"/>
      <c r="AA310" s="12"/>
      <c r="AT310" s="12"/>
      <c r="AU310" s="12"/>
      <c r="BH310" s="12"/>
      <c r="BI310" s="12"/>
    </row>
    <row r="311">
      <c r="Z311" s="12"/>
      <c r="AA311" s="12"/>
      <c r="AT311" s="12"/>
      <c r="AU311" s="12"/>
      <c r="BH311" s="12"/>
      <c r="BI311" s="12"/>
    </row>
    <row r="312">
      <c r="Z312" s="12"/>
      <c r="AA312" s="12"/>
      <c r="AT312" s="12"/>
      <c r="AU312" s="12"/>
      <c r="BH312" s="12"/>
      <c r="BI312" s="12"/>
    </row>
    <row r="313">
      <c r="Z313" s="12"/>
      <c r="AA313" s="12"/>
      <c r="AT313" s="12"/>
      <c r="AU313" s="12"/>
      <c r="BH313" s="12"/>
      <c r="BI313" s="12"/>
    </row>
    <row r="314">
      <c r="Z314" s="12"/>
      <c r="AA314" s="12"/>
      <c r="AT314" s="12"/>
      <c r="AU314" s="12"/>
      <c r="BH314" s="12"/>
      <c r="BI314" s="12"/>
    </row>
    <row r="315">
      <c r="Z315" s="12"/>
      <c r="AA315" s="12"/>
      <c r="AT315" s="12"/>
      <c r="AU315" s="12"/>
      <c r="BH315" s="12"/>
      <c r="BI315" s="12"/>
    </row>
    <row r="316">
      <c r="Z316" s="12"/>
      <c r="AA316" s="12"/>
      <c r="AT316" s="12"/>
      <c r="AU316" s="12"/>
      <c r="BH316" s="12"/>
      <c r="BI316" s="12"/>
    </row>
    <row r="317">
      <c r="Z317" s="12"/>
      <c r="AA317" s="12"/>
      <c r="AT317" s="12"/>
      <c r="AU317" s="12"/>
      <c r="BH317" s="12"/>
      <c r="BI317" s="12"/>
    </row>
    <row r="318">
      <c r="Z318" s="12"/>
      <c r="AA318" s="12"/>
      <c r="AT318" s="12"/>
      <c r="AU318" s="12"/>
      <c r="BH318" s="12"/>
      <c r="BI318" s="12"/>
    </row>
    <row r="319">
      <c r="Z319" s="12"/>
      <c r="AA319" s="12"/>
      <c r="AT319" s="12"/>
      <c r="AU319" s="12"/>
      <c r="BH319" s="12"/>
      <c r="BI319" s="12"/>
    </row>
    <row r="320">
      <c r="Z320" s="12"/>
      <c r="AA320" s="12"/>
      <c r="AT320" s="12"/>
      <c r="AU320" s="12"/>
      <c r="BH320" s="12"/>
      <c r="BI320" s="12"/>
    </row>
    <row r="321">
      <c r="Z321" s="12"/>
      <c r="AA321" s="12"/>
      <c r="AT321" s="12"/>
      <c r="AU321" s="12"/>
      <c r="BH321" s="12"/>
      <c r="BI321" s="12"/>
    </row>
    <row r="322">
      <c r="Z322" s="12"/>
      <c r="AA322" s="12"/>
      <c r="AT322" s="12"/>
      <c r="AU322" s="12"/>
      <c r="BH322" s="12"/>
      <c r="BI322" s="12"/>
    </row>
    <row r="323">
      <c r="Z323" s="12"/>
      <c r="AA323" s="12"/>
      <c r="AT323" s="12"/>
      <c r="AU323" s="12"/>
      <c r="BH323" s="12"/>
      <c r="BI323" s="12"/>
    </row>
    <row r="324">
      <c r="Z324" s="12"/>
      <c r="AA324" s="12"/>
      <c r="AT324" s="12"/>
      <c r="AU324" s="12"/>
      <c r="BH324" s="12"/>
      <c r="BI324" s="12"/>
    </row>
    <row r="325">
      <c r="Z325" s="12"/>
      <c r="AA325" s="12"/>
      <c r="AT325" s="12"/>
      <c r="AU325" s="12"/>
      <c r="BH325" s="12"/>
      <c r="BI325" s="12"/>
    </row>
    <row r="326">
      <c r="Z326" s="12"/>
      <c r="AA326" s="12"/>
      <c r="AT326" s="12"/>
      <c r="AU326" s="12"/>
      <c r="BH326" s="12"/>
      <c r="BI326" s="12"/>
    </row>
    <row r="327">
      <c r="Z327" s="12"/>
      <c r="AA327" s="12"/>
      <c r="AT327" s="12"/>
      <c r="AU327" s="12"/>
      <c r="BH327" s="12"/>
      <c r="BI327" s="12"/>
    </row>
    <row r="328">
      <c r="Z328" s="12"/>
      <c r="AA328" s="12"/>
      <c r="AT328" s="12"/>
      <c r="AU328" s="12"/>
      <c r="BH328" s="12"/>
      <c r="BI328" s="12"/>
    </row>
    <row r="329">
      <c r="Z329" s="12"/>
      <c r="AA329" s="12"/>
      <c r="AT329" s="12"/>
      <c r="AU329" s="12"/>
      <c r="BH329" s="12"/>
      <c r="BI329" s="12"/>
    </row>
    <row r="330">
      <c r="Z330" s="12"/>
      <c r="AA330" s="12"/>
      <c r="AT330" s="12"/>
      <c r="AU330" s="12"/>
      <c r="BH330" s="12"/>
      <c r="BI330" s="12"/>
    </row>
    <row r="331">
      <c r="Z331" s="12"/>
      <c r="AA331" s="12"/>
      <c r="AT331" s="12"/>
      <c r="AU331" s="12"/>
      <c r="BH331" s="12"/>
      <c r="BI331" s="12"/>
    </row>
    <row r="332">
      <c r="Z332" s="12"/>
      <c r="AA332" s="12"/>
      <c r="AT332" s="12"/>
      <c r="AU332" s="12"/>
      <c r="BH332" s="12"/>
      <c r="BI332" s="12"/>
    </row>
    <row r="333">
      <c r="Z333" s="12"/>
      <c r="AA333" s="12"/>
      <c r="AT333" s="12"/>
      <c r="AU333" s="12"/>
      <c r="BH333" s="12"/>
      <c r="BI333" s="12"/>
    </row>
    <row r="334">
      <c r="Z334" s="12"/>
      <c r="AA334" s="12"/>
      <c r="AT334" s="12"/>
      <c r="AU334" s="12"/>
      <c r="BH334" s="12"/>
      <c r="BI334" s="12"/>
    </row>
    <row r="335">
      <c r="Z335" s="12"/>
      <c r="AA335" s="12"/>
      <c r="AT335" s="12"/>
      <c r="AU335" s="12"/>
      <c r="BH335" s="12"/>
      <c r="BI335" s="12"/>
    </row>
    <row r="336">
      <c r="Z336" s="12"/>
      <c r="AA336" s="12"/>
      <c r="AT336" s="12"/>
      <c r="AU336" s="12"/>
      <c r="BH336" s="12"/>
      <c r="BI336" s="12"/>
    </row>
    <row r="337">
      <c r="Z337" s="12"/>
      <c r="AA337" s="12"/>
      <c r="AT337" s="12"/>
      <c r="AU337" s="12"/>
      <c r="BH337" s="12"/>
      <c r="BI337" s="12"/>
    </row>
    <row r="338">
      <c r="Z338" s="12"/>
      <c r="AA338" s="12"/>
      <c r="AT338" s="12"/>
      <c r="AU338" s="12"/>
      <c r="BH338" s="12"/>
      <c r="BI338" s="12"/>
    </row>
    <row r="339">
      <c r="Z339" s="12"/>
      <c r="AA339" s="12"/>
      <c r="AT339" s="12"/>
      <c r="AU339" s="12"/>
      <c r="BH339" s="12"/>
      <c r="BI339" s="12"/>
    </row>
    <row r="340">
      <c r="Z340" s="12"/>
      <c r="AA340" s="12"/>
      <c r="AT340" s="12"/>
      <c r="AU340" s="12"/>
      <c r="BH340" s="12"/>
      <c r="BI340" s="12"/>
    </row>
    <row r="341">
      <c r="Z341" s="12"/>
      <c r="AA341" s="12"/>
      <c r="AT341" s="12"/>
      <c r="AU341" s="12"/>
      <c r="BH341" s="12"/>
      <c r="BI341" s="12"/>
    </row>
    <row r="342">
      <c r="Z342" s="12"/>
      <c r="AA342" s="12"/>
      <c r="AT342" s="12"/>
      <c r="AU342" s="12"/>
      <c r="BH342" s="12"/>
      <c r="BI342" s="12"/>
    </row>
    <row r="343">
      <c r="Z343" s="12"/>
      <c r="AA343" s="12"/>
      <c r="AT343" s="12"/>
      <c r="AU343" s="12"/>
      <c r="BH343" s="12"/>
      <c r="BI343" s="12"/>
    </row>
    <row r="344">
      <c r="Z344" s="12"/>
      <c r="AA344" s="12"/>
      <c r="AT344" s="12"/>
      <c r="AU344" s="12"/>
      <c r="BH344" s="12"/>
      <c r="BI344" s="12"/>
    </row>
    <row r="345">
      <c r="Z345" s="12"/>
      <c r="AA345" s="12"/>
      <c r="AT345" s="12"/>
      <c r="AU345" s="12"/>
      <c r="BH345" s="12"/>
      <c r="BI345" s="12"/>
    </row>
    <row r="346">
      <c r="Z346" s="12"/>
      <c r="AA346" s="12"/>
      <c r="AT346" s="12"/>
      <c r="AU346" s="12"/>
      <c r="BH346" s="12"/>
      <c r="BI346" s="12"/>
    </row>
    <row r="347">
      <c r="Z347" s="12"/>
      <c r="AA347" s="12"/>
      <c r="AT347" s="12"/>
      <c r="AU347" s="12"/>
      <c r="BH347" s="12"/>
      <c r="BI347" s="12"/>
    </row>
    <row r="348">
      <c r="Z348" s="12"/>
      <c r="AA348" s="12"/>
      <c r="AT348" s="12"/>
      <c r="AU348" s="12"/>
      <c r="BH348" s="12"/>
      <c r="BI348" s="12"/>
    </row>
    <row r="349">
      <c r="Z349" s="12"/>
      <c r="AA349" s="12"/>
      <c r="AT349" s="12"/>
      <c r="AU349" s="12"/>
      <c r="BH349" s="12"/>
      <c r="BI349" s="12"/>
    </row>
    <row r="350">
      <c r="Z350" s="12"/>
      <c r="AA350" s="12"/>
      <c r="AT350" s="12"/>
      <c r="AU350" s="12"/>
      <c r="BH350" s="12"/>
      <c r="BI350" s="12"/>
    </row>
    <row r="351">
      <c r="Z351" s="12"/>
      <c r="AA351" s="12"/>
      <c r="AT351" s="12"/>
      <c r="AU351" s="12"/>
      <c r="BH351" s="12"/>
      <c r="BI351" s="12"/>
    </row>
    <row r="352">
      <c r="Z352" s="12"/>
      <c r="AA352" s="12"/>
      <c r="AT352" s="12"/>
      <c r="AU352" s="12"/>
      <c r="BH352" s="12"/>
      <c r="BI352" s="12"/>
    </row>
    <row r="353">
      <c r="Z353" s="12"/>
      <c r="AA353" s="12"/>
      <c r="AT353" s="12"/>
      <c r="AU353" s="12"/>
      <c r="BH353" s="12"/>
      <c r="BI353" s="12"/>
    </row>
    <row r="354">
      <c r="Z354" s="12"/>
      <c r="AA354" s="12"/>
      <c r="AT354" s="12"/>
      <c r="AU354" s="12"/>
      <c r="BH354" s="12"/>
      <c r="BI354" s="12"/>
    </row>
    <row r="355">
      <c r="Z355" s="12"/>
      <c r="AA355" s="12"/>
      <c r="AT355" s="12"/>
      <c r="AU355" s="12"/>
      <c r="BH355" s="12"/>
      <c r="BI355" s="12"/>
    </row>
    <row r="356">
      <c r="Z356" s="12"/>
      <c r="AA356" s="12"/>
      <c r="AT356" s="12"/>
      <c r="AU356" s="12"/>
      <c r="BH356" s="12"/>
      <c r="BI356" s="12"/>
    </row>
    <row r="357">
      <c r="Z357" s="12"/>
      <c r="AA357" s="12"/>
      <c r="AT357" s="12"/>
      <c r="AU357" s="12"/>
      <c r="BH357" s="12"/>
      <c r="BI357" s="12"/>
    </row>
    <row r="358">
      <c r="Z358" s="12"/>
      <c r="AA358" s="12"/>
      <c r="AT358" s="12"/>
      <c r="AU358" s="12"/>
      <c r="BH358" s="12"/>
      <c r="BI358" s="12"/>
    </row>
    <row r="359">
      <c r="Z359" s="12"/>
      <c r="AA359" s="12"/>
      <c r="AT359" s="12"/>
      <c r="AU359" s="12"/>
      <c r="BH359" s="12"/>
      <c r="BI359" s="12"/>
    </row>
    <row r="360">
      <c r="Z360" s="12"/>
      <c r="AA360" s="12"/>
      <c r="AT360" s="12"/>
      <c r="AU360" s="12"/>
      <c r="BH360" s="12"/>
      <c r="BI360" s="12"/>
    </row>
    <row r="361">
      <c r="Z361" s="12"/>
      <c r="AA361" s="12"/>
      <c r="AT361" s="12"/>
      <c r="AU361" s="12"/>
      <c r="BH361" s="12"/>
      <c r="BI361" s="12"/>
    </row>
    <row r="362">
      <c r="Z362" s="12"/>
      <c r="AA362" s="12"/>
      <c r="AT362" s="12"/>
      <c r="AU362" s="12"/>
      <c r="BH362" s="12"/>
      <c r="BI362" s="12"/>
    </row>
    <row r="363">
      <c r="Z363" s="12"/>
      <c r="AA363" s="12"/>
      <c r="AT363" s="12"/>
      <c r="AU363" s="12"/>
      <c r="BH363" s="12"/>
      <c r="BI363" s="12"/>
    </row>
    <row r="364">
      <c r="Z364" s="12"/>
      <c r="AA364" s="12"/>
      <c r="AT364" s="12"/>
      <c r="AU364" s="12"/>
      <c r="BH364" s="12"/>
      <c r="BI364" s="12"/>
    </row>
    <row r="365">
      <c r="Z365" s="12"/>
      <c r="AA365" s="12"/>
      <c r="AT365" s="12"/>
      <c r="AU365" s="12"/>
      <c r="BH365" s="12"/>
      <c r="BI365" s="12"/>
    </row>
    <row r="366">
      <c r="Z366" s="12"/>
      <c r="AA366" s="12"/>
      <c r="AT366" s="12"/>
      <c r="AU366" s="12"/>
      <c r="BH366" s="12"/>
      <c r="BI366" s="12"/>
    </row>
    <row r="367">
      <c r="Z367" s="12"/>
      <c r="AA367" s="12"/>
      <c r="AT367" s="12"/>
      <c r="AU367" s="12"/>
      <c r="BH367" s="12"/>
      <c r="BI367" s="12"/>
    </row>
    <row r="368">
      <c r="Z368" s="12"/>
      <c r="AA368" s="12"/>
      <c r="AT368" s="12"/>
      <c r="AU368" s="12"/>
      <c r="BH368" s="12"/>
      <c r="BI368" s="12"/>
    </row>
    <row r="369">
      <c r="Z369" s="12"/>
      <c r="AA369" s="12"/>
      <c r="AT369" s="12"/>
      <c r="AU369" s="12"/>
      <c r="BH369" s="12"/>
      <c r="BI369" s="12"/>
    </row>
    <row r="370">
      <c r="Z370" s="12"/>
      <c r="AA370" s="12"/>
      <c r="AT370" s="12"/>
      <c r="AU370" s="12"/>
      <c r="BH370" s="12"/>
      <c r="BI370" s="12"/>
    </row>
    <row r="371">
      <c r="Z371" s="12"/>
      <c r="AA371" s="12"/>
      <c r="AT371" s="12"/>
      <c r="AU371" s="12"/>
      <c r="BH371" s="12"/>
      <c r="BI371" s="12"/>
    </row>
    <row r="372">
      <c r="Z372" s="12"/>
      <c r="AA372" s="12"/>
      <c r="AT372" s="12"/>
      <c r="AU372" s="12"/>
      <c r="BH372" s="12"/>
      <c r="BI372" s="12"/>
    </row>
    <row r="373">
      <c r="Z373" s="12"/>
      <c r="AA373" s="12"/>
      <c r="AT373" s="12"/>
      <c r="AU373" s="12"/>
      <c r="BH373" s="12"/>
      <c r="BI373" s="12"/>
    </row>
    <row r="374">
      <c r="Z374" s="12"/>
      <c r="AA374" s="12"/>
      <c r="AT374" s="12"/>
      <c r="AU374" s="12"/>
      <c r="BH374" s="12"/>
      <c r="BI374" s="12"/>
    </row>
    <row r="375">
      <c r="Z375" s="12"/>
      <c r="AA375" s="12"/>
      <c r="AT375" s="12"/>
      <c r="AU375" s="12"/>
      <c r="BH375" s="12"/>
      <c r="BI375" s="12"/>
    </row>
    <row r="376">
      <c r="Z376" s="12"/>
      <c r="AA376" s="12"/>
      <c r="AT376" s="12"/>
      <c r="AU376" s="12"/>
      <c r="BH376" s="12"/>
      <c r="BI376" s="12"/>
    </row>
    <row r="377">
      <c r="Z377" s="12"/>
      <c r="AA377" s="12"/>
      <c r="AT377" s="12"/>
      <c r="AU377" s="12"/>
      <c r="BH377" s="12"/>
      <c r="BI377" s="12"/>
    </row>
    <row r="378">
      <c r="Z378" s="12"/>
      <c r="AA378" s="12"/>
      <c r="AT378" s="12"/>
      <c r="AU378" s="12"/>
      <c r="BH378" s="12"/>
      <c r="BI378" s="12"/>
    </row>
    <row r="379">
      <c r="Z379" s="12"/>
      <c r="AA379" s="12"/>
      <c r="AT379" s="12"/>
      <c r="AU379" s="12"/>
      <c r="BH379" s="12"/>
      <c r="BI379" s="12"/>
    </row>
    <row r="380">
      <c r="Z380" s="12"/>
      <c r="AA380" s="12"/>
      <c r="AT380" s="12"/>
      <c r="AU380" s="12"/>
      <c r="BH380" s="12"/>
      <c r="BI380" s="12"/>
    </row>
    <row r="381">
      <c r="Z381" s="12"/>
      <c r="AA381" s="12"/>
      <c r="AT381" s="12"/>
      <c r="AU381" s="12"/>
      <c r="BH381" s="12"/>
      <c r="BI381" s="12"/>
    </row>
    <row r="382">
      <c r="Z382" s="12"/>
      <c r="AA382" s="12"/>
      <c r="AT382" s="12"/>
      <c r="AU382" s="12"/>
      <c r="BH382" s="12"/>
      <c r="BI382" s="12"/>
    </row>
    <row r="383">
      <c r="Z383" s="12"/>
      <c r="AA383" s="12"/>
      <c r="AT383" s="12"/>
      <c r="AU383" s="12"/>
      <c r="BH383" s="12"/>
      <c r="BI383" s="12"/>
    </row>
    <row r="384">
      <c r="Z384" s="12"/>
      <c r="AA384" s="12"/>
      <c r="AT384" s="12"/>
      <c r="AU384" s="12"/>
      <c r="BH384" s="12"/>
      <c r="BI384" s="12"/>
    </row>
    <row r="385">
      <c r="Z385" s="12"/>
      <c r="AA385" s="12"/>
      <c r="AT385" s="12"/>
      <c r="AU385" s="12"/>
      <c r="BH385" s="12"/>
      <c r="BI385" s="12"/>
    </row>
    <row r="386">
      <c r="Z386" s="12"/>
      <c r="AA386" s="12"/>
      <c r="AT386" s="12"/>
      <c r="AU386" s="12"/>
      <c r="BH386" s="12"/>
      <c r="BI386" s="12"/>
    </row>
    <row r="387">
      <c r="Z387" s="12"/>
      <c r="AA387" s="12"/>
      <c r="AT387" s="12"/>
      <c r="AU387" s="12"/>
      <c r="BH387" s="12"/>
      <c r="BI387" s="12"/>
    </row>
    <row r="388">
      <c r="Z388" s="12"/>
      <c r="AA388" s="12"/>
      <c r="AT388" s="12"/>
      <c r="AU388" s="12"/>
      <c r="BH388" s="12"/>
      <c r="BI388" s="12"/>
    </row>
    <row r="389">
      <c r="Z389" s="12"/>
      <c r="AA389" s="12"/>
      <c r="AT389" s="12"/>
      <c r="AU389" s="12"/>
      <c r="BH389" s="12"/>
      <c r="BI389" s="12"/>
    </row>
    <row r="390">
      <c r="Z390" s="12"/>
      <c r="AA390" s="12"/>
      <c r="AT390" s="12"/>
      <c r="AU390" s="12"/>
      <c r="BH390" s="12"/>
      <c r="BI390" s="12"/>
    </row>
    <row r="391">
      <c r="Z391" s="12"/>
      <c r="AA391" s="12"/>
      <c r="AT391" s="12"/>
      <c r="AU391" s="12"/>
      <c r="BH391" s="12"/>
      <c r="BI391" s="12"/>
    </row>
    <row r="392">
      <c r="Z392" s="12"/>
      <c r="AA392" s="12"/>
      <c r="AT392" s="12"/>
      <c r="AU392" s="12"/>
      <c r="BH392" s="12"/>
      <c r="BI392" s="12"/>
    </row>
    <row r="393">
      <c r="Z393" s="12"/>
      <c r="AA393" s="12"/>
      <c r="AT393" s="12"/>
      <c r="AU393" s="12"/>
      <c r="BH393" s="12"/>
      <c r="BI393" s="12"/>
    </row>
    <row r="394">
      <c r="Z394" s="12"/>
      <c r="AA394" s="12"/>
      <c r="AT394" s="12"/>
      <c r="AU394" s="12"/>
      <c r="BH394" s="12"/>
      <c r="BI394" s="12"/>
    </row>
    <row r="395">
      <c r="Z395" s="12"/>
      <c r="AA395" s="12"/>
      <c r="AT395" s="12"/>
      <c r="AU395" s="12"/>
      <c r="BH395" s="12"/>
      <c r="BI395" s="12"/>
    </row>
    <row r="396">
      <c r="Z396" s="12"/>
      <c r="AA396" s="12"/>
      <c r="AT396" s="12"/>
      <c r="AU396" s="12"/>
      <c r="BH396" s="12"/>
      <c r="BI396" s="12"/>
    </row>
    <row r="397">
      <c r="Z397" s="12"/>
      <c r="AA397" s="12"/>
      <c r="AT397" s="12"/>
      <c r="AU397" s="12"/>
      <c r="BH397" s="12"/>
      <c r="BI397" s="12"/>
    </row>
    <row r="398">
      <c r="Z398" s="12"/>
      <c r="AA398" s="12"/>
      <c r="AT398" s="12"/>
      <c r="AU398" s="12"/>
      <c r="BH398" s="12"/>
      <c r="BI398" s="12"/>
    </row>
    <row r="399">
      <c r="Z399" s="12"/>
      <c r="AA399" s="12"/>
      <c r="AT399" s="12"/>
      <c r="AU399" s="12"/>
      <c r="BH399" s="12"/>
      <c r="BI399" s="12"/>
    </row>
    <row r="400">
      <c r="Z400" s="12"/>
      <c r="AA400" s="12"/>
      <c r="AT400" s="12"/>
      <c r="AU400" s="12"/>
      <c r="BH400" s="12"/>
      <c r="BI400" s="12"/>
    </row>
    <row r="401">
      <c r="Z401" s="12"/>
      <c r="AA401" s="12"/>
      <c r="AT401" s="12"/>
      <c r="AU401" s="12"/>
      <c r="BH401" s="12"/>
      <c r="BI401" s="12"/>
    </row>
    <row r="402">
      <c r="Z402" s="12"/>
      <c r="AA402" s="12"/>
      <c r="AT402" s="12"/>
      <c r="AU402" s="12"/>
      <c r="BH402" s="12"/>
      <c r="BI402" s="12"/>
    </row>
    <row r="403">
      <c r="Z403" s="12"/>
      <c r="AA403" s="12"/>
      <c r="AT403" s="12"/>
      <c r="AU403" s="12"/>
      <c r="BH403" s="12"/>
      <c r="BI403" s="12"/>
    </row>
    <row r="404">
      <c r="Z404" s="12"/>
      <c r="AA404" s="12"/>
      <c r="AT404" s="12"/>
      <c r="AU404" s="12"/>
      <c r="BH404" s="12"/>
      <c r="BI404" s="12"/>
    </row>
    <row r="405">
      <c r="Z405" s="12"/>
      <c r="AA405" s="12"/>
      <c r="AT405" s="12"/>
      <c r="AU405" s="12"/>
      <c r="BH405" s="12"/>
      <c r="BI405" s="12"/>
    </row>
    <row r="406">
      <c r="Z406" s="12"/>
      <c r="AA406" s="12"/>
      <c r="AT406" s="12"/>
      <c r="AU406" s="12"/>
      <c r="BH406" s="12"/>
      <c r="BI406" s="12"/>
    </row>
    <row r="407">
      <c r="Z407" s="12"/>
      <c r="AA407" s="12"/>
      <c r="AT407" s="12"/>
      <c r="AU407" s="12"/>
      <c r="BH407" s="12"/>
      <c r="BI407" s="12"/>
    </row>
    <row r="408">
      <c r="Z408" s="12"/>
      <c r="AA408" s="12"/>
      <c r="AT408" s="12"/>
      <c r="AU408" s="12"/>
      <c r="BH408" s="12"/>
      <c r="BI408" s="12"/>
    </row>
    <row r="409">
      <c r="Z409" s="12"/>
      <c r="AA409" s="12"/>
      <c r="AT409" s="12"/>
      <c r="AU409" s="12"/>
      <c r="BH409" s="12"/>
      <c r="BI409" s="12"/>
    </row>
    <row r="410">
      <c r="Z410" s="12"/>
      <c r="AA410" s="12"/>
      <c r="AT410" s="12"/>
      <c r="AU410" s="12"/>
      <c r="BH410" s="12"/>
      <c r="BI410" s="12"/>
    </row>
    <row r="411">
      <c r="Z411" s="12"/>
      <c r="AA411" s="12"/>
      <c r="AT411" s="12"/>
      <c r="AU411" s="12"/>
      <c r="BH411" s="12"/>
      <c r="BI411" s="12"/>
    </row>
    <row r="412">
      <c r="Z412" s="12"/>
      <c r="AA412" s="12"/>
      <c r="AT412" s="12"/>
      <c r="AU412" s="12"/>
      <c r="BH412" s="12"/>
      <c r="BI412" s="12"/>
    </row>
    <row r="413">
      <c r="Z413" s="12"/>
      <c r="AA413" s="12"/>
      <c r="AT413" s="12"/>
      <c r="AU413" s="12"/>
      <c r="BH413" s="12"/>
      <c r="BI413" s="12"/>
    </row>
    <row r="414">
      <c r="Z414" s="12"/>
      <c r="AA414" s="12"/>
      <c r="AT414" s="12"/>
      <c r="AU414" s="12"/>
      <c r="BH414" s="12"/>
      <c r="BI414" s="12"/>
    </row>
    <row r="415">
      <c r="Z415" s="12"/>
      <c r="AA415" s="12"/>
      <c r="AT415" s="12"/>
      <c r="AU415" s="12"/>
      <c r="BH415" s="12"/>
      <c r="BI415" s="12"/>
    </row>
    <row r="416">
      <c r="Z416" s="12"/>
      <c r="AA416" s="12"/>
      <c r="AT416" s="12"/>
      <c r="AU416" s="12"/>
      <c r="BH416" s="12"/>
      <c r="BI416" s="12"/>
    </row>
    <row r="417">
      <c r="Z417" s="12"/>
      <c r="AA417" s="12"/>
      <c r="AT417" s="12"/>
      <c r="AU417" s="12"/>
      <c r="BH417" s="12"/>
      <c r="BI417" s="12"/>
    </row>
    <row r="418">
      <c r="Z418" s="12"/>
      <c r="AA418" s="12"/>
      <c r="AT418" s="12"/>
      <c r="AU418" s="12"/>
      <c r="BH418" s="12"/>
      <c r="BI418" s="12"/>
    </row>
    <row r="419">
      <c r="Z419" s="12"/>
      <c r="AA419" s="12"/>
      <c r="AT419" s="12"/>
      <c r="AU419" s="12"/>
      <c r="BH419" s="12"/>
      <c r="BI419" s="12"/>
    </row>
    <row r="420">
      <c r="Z420" s="12"/>
      <c r="AA420" s="12"/>
      <c r="AT420" s="12"/>
      <c r="AU420" s="12"/>
      <c r="BH420" s="12"/>
      <c r="BI420" s="12"/>
    </row>
    <row r="421">
      <c r="Z421" s="12"/>
      <c r="AA421" s="12"/>
      <c r="AT421" s="12"/>
      <c r="AU421" s="12"/>
      <c r="BH421" s="12"/>
      <c r="BI421" s="12"/>
    </row>
    <row r="422">
      <c r="Z422" s="12"/>
      <c r="AA422" s="12"/>
      <c r="AT422" s="12"/>
      <c r="AU422" s="12"/>
      <c r="BH422" s="12"/>
      <c r="BI422" s="12"/>
    </row>
    <row r="423">
      <c r="Z423" s="12"/>
      <c r="AA423" s="12"/>
      <c r="AT423" s="12"/>
      <c r="AU423" s="12"/>
      <c r="BH423" s="12"/>
      <c r="BI423" s="12"/>
    </row>
    <row r="424">
      <c r="Z424" s="12"/>
      <c r="AA424" s="12"/>
      <c r="AT424" s="12"/>
      <c r="AU424" s="12"/>
      <c r="BH424" s="12"/>
      <c r="BI424" s="12"/>
    </row>
    <row r="425">
      <c r="Z425" s="12"/>
      <c r="AA425" s="12"/>
      <c r="AT425" s="12"/>
      <c r="AU425" s="12"/>
      <c r="BH425" s="12"/>
      <c r="BI425" s="12"/>
    </row>
    <row r="426">
      <c r="Z426" s="12"/>
      <c r="AA426" s="12"/>
      <c r="AT426" s="12"/>
      <c r="AU426" s="12"/>
      <c r="BH426" s="12"/>
      <c r="BI426" s="12"/>
    </row>
    <row r="427">
      <c r="Z427" s="12"/>
      <c r="AA427" s="12"/>
      <c r="AT427" s="12"/>
      <c r="AU427" s="12"/>
      <c r="BH427" s="12"/>
      <c r="BI427" s="12"/>
    </row>
    <row r="428">
      <c r="Z428" s="12"/>
      <c r="AA428" s="12"/>
      <c r="AT428" s="12"/>
      <c r="AU428" s="12"/>
      <c r="BH428" s="12"/>
      <c r="BI428" s="12"/>
    </row>
    <row r="429">
      <c r="Z429" s="12"/>
      <c r="AA429" s="12"/>
      <c r="AT429" s="12"/>
      <c r="AU429" s="12"/>
      <c r="BH429" s="12"/>
      <c r="BI429" s="12"/>
    </row>
    <row r="430">
      <c r="Z430" s="12"/>
      <c r="AA430" s="12"/>
      <c r="AT430" s="12"/>
      <c r="AU430" s="12"/>
      <c r="BH430" s="12"/>
      <c r="BI430" s="12"/>
    </row>
    <row r="431">
      <c r="Z431" s="12"/>
      <c r="AA431" s="12"/>
      <c r="AT431" s="12"/>
      <c r="AU431" s="12"/>
      <c r="BH431" s="12"/>
      <c r="BI431" s="12"/>
    </row>
    <row r="432">
      <c r="Z432" s="12"/>
      <c r="AA432" s="12"/>
      <c r="AT432" s="12"/>
      <c r="AU432" s="12"/>
      <c r="BH432" s="12"/>
      <c r="BI432" s="12"/>
    </row>
    <row r="433">
      <c r="Z433" s="12"/>
      <c r="AA433" s="12"/>
      <c r="AT433" s="12"/>
      <c r="AU433" s="12"/>
      <c r="BH433" s="12"/>
      <c r="BI433" s="12"/>
    </row>
    <row r="434">
      <c r="Z434" s="12"/>
      <c r="AA434" s="12"/>
      <c r="AT434" s="12"/>
      <c r="AU434" s="12"/>
      <c r="BH434" s="12"/>
      <c r="BI434" s="12"/>
    </row>
    <row r="435">
      <c r="Z435" s="12"/>
      <c r="AA435" s="12"/>
      <c r="AT435" s="12"/>
      <c r="AU435" s="12"/>
      <c r="BH435" s="12"/>
      <c r="BI435" s="12"/>
    </row>
    <row r="436">
      <c r="Z436" s="12"/>
      <c r="AA436" s="12"/>
      <c r="AT436" s="12"/>
      <c r="AU436" s="12"/>
      <c r="BH436" s="12"/>
      <c r="BI436" s="12"/>
    </row>
    <row r="437">
      <c r="Z437" s="12"/>
      <c r="AA437" s="12"/>
      <c r="AT437" s="12"/>
      <c r="AU437" s="12"/>
      <c r="BH437" s="12"/>
      <c r="BI437" s="12"/>
    </row>
    <row r="438">
      <c r="Z438" s="12"/>
      <c r="AA438" s="12"/>
      <c r="AT438" s="12"/>
      <c r="AU438" s="12"/>
      <c r="BH438" s="12"/>
      <c r="BI438" s="12"/>
    </row>
    <row r="439">
      <c r="Z439" s="12"/>
      <c r="AA439" s="12"/>
      <c r="AT439" s="12"/>
      <c r="AU439" s="12"/>
      <c r="BH439" s="12"/>
      <c r="BI439" s="12"/>
    </row>
    <row r="440">
      <c r="Z440" s="12"/>
      <c r="AA440" s="12"/>
      <c r="AT440" s="12"/>
      <c r="AU440" s="12"/>
      <c r="BH440" s="12"/>
      <c r="BI440" s="12"/>
    </row>
    <row r="441">
      <c r="Z441" s="12"/>
      <c r="AA441" s="12"/>
      <c r="AT441" s="12"/>
      <c r="AU441" s="12"/>
      <c r="BH441" s="12"/>
      <c r="BI441" s="12"/>
    </row>
    <row r="442">
      <c r="Z442" s="12"/>
      <c r="AA442" s="12"/>
      <c r="AT442" s="12"/>
      <c r="AU442" s="12"/>
      <c r="BH442" s="12"/>
      <c r="BI442" s="12"/>
    </row>
    <row r="443">
      <c r="Z443" s="12"/>
      <c r="AA443" s="12"/>
      <c r="AT443" s="12"/>
      <c r="AU443" s="12"/>
      <c r="BH443" s="12"/>
      <c r="BI443" s="12"/>
    </row>
    <row r="444">
      <c r="Z444" s="12"/>
      <c r="AA444" s="12"/>
      <c r="AT444" s="12"/>
      <c r="AU444" s="12"/>
      <c r="BH444" s="12"/>
      <c r="BI444" s="12"/>
    </row>
    <row r="445">
      <c r="Z445" s="12"/>
      <c r="AA445" s="12"/>
      <c r="AT445" s="12"/>
      <c r="AU445" s="12"/>
      <c r="BH445" s="12"/>
      <c r="BI445" s="12"/>
    </row>
    <row r="446">
      <c r="Z446" s="12"/>
      <c r="AA446" s="12"/>
      <c r="AT446" s="12"/>
      <c r="AU446" s="12"/>
      <c r="BH446" s="12"/>
      <c r="BI446" s="12"/>
    </row>
    <row r="447">
      <c r="Z447" s="12"/>
      <c r="AA447" s="12"/>
      <c r="AT447" s="12"/>
      <c r="AU447" s="12"/>
      <c r="BH447" s="12"/>
      <c r="BI447" s="12"/>
    </row>
    <row r="448">
      <c r="Z448" s="12"/>
      <c r="AA448" s="12"/>
      <c r="AT448" s="12"/>
      <c r="AU448" s="12"/>
      <c r="BH448" s="12"/>
      <c r="BI448" s="12"/>
    </row>
    <row r="449">
      <c r="Z449" s="12"/>
      <c r="AA449" s="12"/>
      <c r="AT449" s="12"/>
      <c r="AU449" s="12"/>
      <c r="BH449" s="12"/>
      <c r="BI449" s="12"/>
    </row>
    <row r="450">
      <c r="Z450" s="12"/>
      <c r="AA450" s="12"/>
      <c r="AT450" s="12"/>
      <c r="AU450" s="12"/>
      <c r="BH450" s="12"/>
      <c r="BI450" s="12"/>
    </row>
    <row r="451">
      <c r="Z451" s="12"/>
      <c r="AA451" s="12"/>
      <c r="AT451" s="12"/>
      <c r="AU451" s="12"/>
      <c r="BH451" s="12"/>
      <c r="BI451" s="12"/>
    </row>
    <row r="452">
      <c r="Z452" s="12"/>
      <c r="AA452" s="12"/>
      <c r="AT452" s="12"/>
      <c r="AU452" s="12"/>
      <c r="BH452" s="12"/>
      <c r="BI452" s="12"/>
    </row>
    <row r="453">
      <c r="Z453" s="12"/>
      <c r="AA453" s="12"/>
      <c r="AT453" s="12"/>
      <c r="AU453" s="12"/>
      <c r="BH453" s="12"/>
      <c r="BI453" s="12"/>
    </row>
    <row r="454">
      <c r="Z454" s="12"/>
      <c r="AA454" s="12"/>
      <c r="AT454" s="12"/>
      <c r="AU454" s="12"/>
      <c r="BH454" s="12"/>
      <c r="BI454" s="12"/>
    </row>
    <row r="455">
      <c r="Z455" s="12"/>
      <c r="AA455" s="12"/>
      <c r="AT455" s="12"/>
      <c r="AU455" s="12"/>
      <c r="BH455" s="12"/>
      <c r="BI455" s="12"/>
    </row>
    <row r="456">
      <c r="Z456" s="12"/>
      <c r="AA456" s="12"/>
      <c r="AT456" s="12"/>
      <c r="AU456" s="12"/>
      <c r="BH456" s="12"/>
      <c r="BI456" s="12"/>
    </row>
    <row r="457">
      <c r="Z457" s="12"/>
      <c r="AA457" s="12"/>
      <c r="AT457" s="12"/>
      <c r="AU457" s="12"/>
      <c r="BH457" s="12"/>
      <c r="BI457" s="12"/>
    </row>
    <row r="458">
      <c r="Z458" s="12"/>
      <c r="AA458" s="12"/>
      <c r="AT458" s="12"/>
      <c r="AU458" s="12"/>
      <c r="BH458" s="12"/>
      <c r="BI458" s="12"/>
    </row>
    <row r="459">
      <c r="Z459" s="12"/>
      <c r="AA459" s="12"/>
      <c r="AT459" s="12"/>
      <c r="AU459" s="12"/>
      <c r="BH459" s="12"/>
      <c r="BI459" s="12"/>
    </row>
    <row r="460">
      <c r="Z460" s="12"/>
      <c r="AA460" s="12"/>
      <c r="AT460" s="12"/>
      <c r="AU460" s="12"/>
      <c r="BH460" s="12"/>
      <c r="BI460" s="12"/>
    </row>
    <row r="461">
      <c r="Z461" s="12"/>
      <c r="AA461" s="12"/>
      <c r="AT461" s="12"/>
      <c r="AU461" s="12"/>
      <c r="BH461" s="12"/>
      <c r="BI461" s="12"/>
    </row>
    <row r="462">
      <c r="Z462" s="12"/>
      <c r="AA462" s="12"/>
      <c r="AT462" s="12"/>
      <c r="AU462" s="12"/>
      <c r="BH462" s="12"/>
      <c r="BI462" s="12"/>
    </row>
    <row r="463">
      <c r="Z463" s="12"/>
      <c r="AA463" s="12"/>
      <c r="AT463" s="12"/>
      <c r="AU463" s="12"/>
      <c r="BH463" s="12"/>
      <c r="BI463" s="12"/>
    </row>
    <row r="464">
      <c r="Z464" s="12"/>
      <c r="AA464" s="12"/>
      <c r="AT464" s="12"/>
      <c r="AU464" s="12"/>
      <c r="BH464" s="12"/>
      <c r="BI464" s="12"/>
    </row>
    <row r="465">
      <c r="Z465" s="12"/>
      <c r="AA465" s="12"/>
      <c r="AT465" s="12"/>
      <c r="AU465" s="12"/>
      <c r="BH465" s="12"/>
      <c r="BI465" s="12"/>
    </row>
    <row r="466">
      <c r="Z466" s="12"/>
      <c r="AA466" s="12"/>
      <c r="AT466" s="12"/>
      <c r="AU466" s="12"/>
      <c r="BH466" s="12"/>
      <c r="BI466" s="12"/>
    </row>
    <row r="467">
      <c r="Z467" s="12"/>
      <c r="AA467" s="12"/>
      <c r="AT467" s="12"/>
      <c r="AU467" s="12"/>
      <c r="BH467" s="12"/>
      <c r="BI467" s="12"/>
    </row>
    <row r="468">
      <c r="Z468" s="12"/>
      <c r="AA468" s="12"/>
      <c r="AT468" s="12"/>
      <c r="AU468" s="12"/>
      <c r="BH468" s="12"/>
      <c r="BI468" s="12"/>
    </row>
    <row r="469">
      <c r="Z469" s="12"/>
      <c r="AA469" s="12"/>
      <c r="AT469" s="12"/>
      <c r="AU469" s="12"/>
      <c r="BH469" s="12"/>
      <c r="BI469" s="12"/>
    </row>
    <row r="470">
      <c r="Z470" s="12"/>
      <c r="AA470" s="12"/>
      <c r="AT470" s="12"/>
      <c r="AU470" s="12"/>
      <c r="BH470" s="12"/>
      <c r="BI470" s="12"/>
    </row>
    <row r="471">
      <c r="Z471" s="12"/>
      <c r="AA471" s="12"/>
      <c r="AT471" s="12"/>
      <c r="AU471" s="12"/>
      <c r="BH471" s="12"/>
      <c r="BI471" s="12"/>
    </row>
    <row r="472">
      <c r="Z472" s="12"/>
      <c r="AA472" s="12"/>
      <c r="AT472" s="12"/>
      <c r="AU472" s="12"/>
      <c r="BH472" s="12"/>
      <c r="BI472" s="12"/>
    </row>
    <row r="473">
      <c r="Z473" s="12"/>
      <c r="AA473" s="12"/>
      <c r="AT473" s="12"/>
      <c r="AU473" s="12"/>
      <c r="BH473" s="12"/>
      <c r="BI473" s="12"/>
    </row>
    <row r="474">
      <c r="Z474" s="12"/>
      <c r="AA474" s="12"/>
      <c r="AT474" s="12"/>
      <c r="AU474" s="12"/>
      <c r="BH474" s="12"/>
      <c r="BI474" s="12"/>
    </row>
    <row r="475">
      <c r="Z475" s="12"/>
      <c r="AA475" s="12"/>
      <c r="AT475" s="12"/>
      <c r="AU475" s="12"/>
      <c r="BH475" s="12"/>
      <c r="BI475" s="12"/>
    </row>
    <row r="476">
      <c r="Z476" s="12"/>
      <c r="AA476" s="12"/>
      <c r="AT476" s="12"/>
      <c r="AU476" s="12"/>
      <c r="BH476" s="12"/>
      <c r="BI476" s="12"/>
    </row>
    <row r="477">
      <c r="Z477" s="12"/>
      <c r="AA477" s="12"/>
      <c r="AT477" s="12"/>
      <c r="AU477" s="12"/>
      <c r="BH477" s="12"/>
      <c r="BI477" s="12"/>
    </row>
    <row r="478">
      <c r="Z478" s="12"/>
      <c r="AA478" s="12"/>
      <c r="AT478" s="12"/>
      <c r="AU478" s="12"/>
      <c r="BH478" s="12"/>
      <c r="BI478" s="12"/>
    </row>
    <row r="479">
      <c r="Z479" s="12"/>
      <c r="AA479" s="12"/>
      <c r="AT479" s="12"/>
      <c r="AU479" s="12"/>
      <c r="BH479" s="12"/>
      <c r="BI479" s="12"/>
    </row>
    <row r="480">
      <c r="Z480" s="12"/>
      <c r="AA480" s="12"/>
      <c r="AT480" s="12"/>
      <c r="AU480" s="12"/>
      <c r="BH480" s="12"/>
      <c r="BI480" s="12"/>
    </row>
    <row r="481">
      <c r="Z481" s="12"/>
      <c r="AA481" s="12"/>
      <c r="AT481" s="12"/>
      <c r="AU481" s="12"/>
      <c r="BH481" s="12"/>
      <c r="BI481" s="12"/>
    </row>
    <row r="482">
      <c r="Z482" s="12"/>
      <c r="AA482" s="12"/>
      <c r="AT482" s="12"/>
      <c r="AU482" s="12"/>
      <c r="BH482" s="12"/>
      <c r="BI482" s="12"/>
    </row>
    <row r="483">
      <c r="Z483" s="12"/>
      <c r="AA483" s="12"/>
      <c r="AT483" s="12"/>
      <c r="AU483" s="12"/>
      <c r="BH483" s="12"/>
      <c r="BI483" s="12"/>
    </row>
    <row r="484">
      <c r="Z484" s="12"/>
      <c r="AA484" s="12"/>
      <c r="AT484" s="12"/>
      <c r="AU484" s="12"/>
      <c r="BH484" s="12"/>
      <c r="BI484" s="12"/>
    </row>
    <row r="485">
      <c r="Z485" s="12"/>
      <c r="AA485" s="12"/>
      <c r="AT485" s="12"/>
      <c r="AU485" s="12"/>
      <c r="BH485" s="12"/>
      <c r="BI485" s="12"/>
    </row>
    <row r="486">
      <c r="Z486" s="12"/>
      <c r="AA486" s="12"/>
      <c r="AT486" s="12"/>
      <c r="AU486" s="12"/>
      <c r="BH486" s="12"/>
      <c r="BI486" s="12"/>
    </row>
    <row r="487">
      <c r="Z487" s="12"/>
      <c r="AA487" s="12"/>
      <c r="AT487" s="12"/>
      <c r="AU487" s="12"/>
      <c r="BH487" s="12"/>
      <c r="BI487" s="12"/>
    </row>
    <row r="488">
      <c r="Z488" s="12"/>
      <c r="AA488" s="12"/>
      <c r="AT488" s="12"/>
      <c r="AU488" s="12"/>
      <c r="BH488" s="12"/>
      <c r="BI488" s="12"/>
    </row>
    <row r="489">
      <c r="Z489" s="12"/>
      <c r="AA489" s="12"/>
      <c r="AT489" s="12"/>
      <c r="AU489" s="12"/>
      <c r="BH489" s="12"/>
      <c r="BI489" s="12"/>
    </row>
    <row r="490">
      <c r="Z490" s="12"/>
      <c r="AA490" s="12"/>
      <c r="AT490" s="12"/>
      <c r="AU490" s="12"/>
      <c r="BH490" s="12"/>
      <c r="BI490" s="12"/>
    </row>
    <row r="491">
      <c r="Z491" s="12"/>
      <c r="AA491" s="12"/>
      <c r="AT491" s="12"/>
      <c r="AU491" s="12"/>
      <c r="BH491" s="12"/>
      <c r="BI491" s="12"/>
    </row>
    <row r="492">
      <c r="Z492" s="12"/>
      <c r="AA492" s="12"/>
      <c r="AT492" s="12"/>
      <c r="AU492" s="12"/>
      <c r="BH492" s="12"/>
      <c r="BI492" s="12"/>
    </row>
    <row r="493">
      <c r="Z493" s="12"/>
      <c r="AA493" s="12"/>
      <c r="AT493" s="12"/>
      <c r="AU493" s="12"/>
      <c r="BH493" s="12"/>
      <c r="BI493" s="12"/>
    </row>
    <row r="494">
      <c r="Z494" s="12"/>
      <c r="AA494" s="12"/>
      <c r="AT494" s="12"/>
      <c r="AU494" s="12"/>
      <c r="BH494" s="12"/>
      <c r="BI494" s="12"/>
    </row>
    <row r="495">
      <c r="Z495" s="12"/>
      <c r="AA495" s="12"/>
      <c r="AT495" s="12"/>
      <c r="AU495" s="12"/>
      <c r="BH495" s="12"/>
      <c r="BI495" s="12"/>
    </row>
    <row r="496">
      <c r="Z496" s="12"/>
      <c r="AA496" s="12"/>
      <c r="AT496" s="12"/>
      <c r="AU496" s="12"/>
      <c r="BH496" s="12"/>
      <c r="BI496" s="12"/>
    </row>
    <row r="497">
      <c r="Z497" s="12"/>
      <c r="AA497" s="12"/>
      <c r="AT497" s="12"/>
      <c r="AU497" s="12"/>
      <c r="BH497" s="12"/>
      <c r="BI497" s="12"/>
    </row>
    <row r="498">
      <c r="Z498" s="12"/>
      <c r="AA498" s="12"/>
      <c r="AT498" s="12"/>
      <c r="AU498" s="12"/>
      <c r="BH498" s="12"/>
      <c r="BI498" s="12"/>
    </row>
    <row r="499">
      <c r="Z499" s="12"/>
      <c r="AA499" s="12"/>
      <c r="AT499" s="12"/>
      <c r="AU499" s="12"/>
      <c r="BH499" s="12"/>
      <c r="BI499" s="12"/>
    </row>
    <row r="500">
      <c r="Z500" s="12"/>
      <c r="AA500" s="12"/>
      <c r="AT500" s="12"/>
      <c r="AU500" s="12"/>
      <c r="BH500" s="12"/>
      <c r="BI500" s="12"/>
    </row>
    <row r="501">
      <c r="Z501" s="12"/>
      <c r="AA501" s="12"/>
      <c r="AT501" s="12"/>
      <c r="AU501" s="12"/>
      <c r="BH501" s="12"/>
      <c r="BI501" s="12"/>
    </row>
    <row r="502">
      <c r="Z502" s="12"/>
      <c r="AA502" s="12"/>
      <c r="AT502" s="12"/>
      <c r="AU502" s="12"/>
      <c r="BH502" s="12"/>
      <c r="BI502" s="12"/>
    </row>
    <row r="503">
      <c r="Z503" s="12"/>
      <c r="AA503" s="12"/>
      <c r="AT503" s="12"/>
      <c r="AU503" s="12"/>
      <c r="BH503" s="12"/>
      <c r="BI503" s="12"/>
    </row>
    <row r="504">
      <c r="Z504" s="12"/>
      <c r="AA504" s="12"/>
      <c r="AT504" s="12"/>
      <c r="AU504" s="12"/>
      <c r="BH504" s="12"/>
      <c r="BI504" s="12"/>
    </row>
    <row r="505">
      <c r="Z505" s="12"/>
      <c r="AA505" s="12"/>
      <c r="AT505" s="12"/>
      <c r="AU505" s="12"/>
      <c r="BH505" s="12"/>
      <c r="BI505" s="12"/>
    </row>
    <row r="506">
      <c r="Z506" s="12"/>
      <c r="AA506" s="12"/>
      <c r="AT506" s="12"/>
      <c r="AU506" s="12"/>
      <c r="BH506" s="12"/>
      <c r="BI506" s="12"/>
    </row>
    <row r="507">
      <c r="Z507" s="12"/>
      <c r="AA507" s="12"/>
      <c r="AT507" s="12"/>
      <c r="AU507" s="12"/>
      <c r="BH507" s="12"/>
      <c r="BI507" s="12"/>
    </row>
    <row r="508">
      <c r="Z508" s="12"/>
      <c r="AA508" s="12"/>
      <c r="AT508" s="12"/>
      <c r="AU508" s="12"/>
      <c r="BH508" s="12"/>
      <c r="BI508" s="12"/>
    </row>
    <row r="509">
      <c r="Z509" s="12"/>
      <c r="AA509" s="12"/>
      <c r="AT509" s="12"/>
      <c r="AU509" s="12"/>
      <c r="BH509" s="12"/>
      <c r="BI509" s="12"/>
    </row>
    <row r="510">
      <c r="Z510" s="12"/>
      <c r="AA510" s="12"/>
      <c r="AT510" s="12"/>
      <c r="AU510" s="12"/>
      <c r="BH510" s="12"/>
      <c r="BI510" s="12"/>
    </row>
    <row r="511">
      <c r="Z511" s="12"/>
      <c r="AA511" s="12"/>
      <c r="AT511" s="12"/>
      <c r="AU511" s="12"/>
      <c r="BH511" s="12"/>
      <c r="BI511" s="12"/>
    </row>
    <row r="512">
      <c r="Z512" s="12"/>
      <c r="AA512" s="12"/>
      <c r="AT512" s="12"/>
      <c r="AU512" s="12"/>
      <c r="BH512" s="12"/>
      <c r="BI512" s="12"/>
    </row>
    <row r="513">
      <c r="Z513" s="12"/>
      <c r="AA513" s="12"/>
      <c r="AT513" s="12"/>
      <c r="AU513" s="12"/>
      <c r="BH513" s="12"/>
      <c r="BI513" s="12"/>
    </row>
    <row r="514">
      <c r="Z514" s="12"/>
      <c r="AA514" s="12"/>
      <c r="AT514" s="12"/>
      <c r="AU514" s="12"/>
      <c r="BH514" s="12"/>
      <c r="BI514" s="12"/>
    </row>
    <row r="515">
      <c r="Z515" s="12"/>
      <c r="AA515" s="12"/>
      <c r="AT515" s="12"/>
      <c r="AU515" s="12"/>
      <c r="BH515" s="12"/>
      <c r="BI515" s="12"/>
    </row>
    <row r="516">
      <c r="Z516" s="12"/>
      <c r="AA516" s="12"/>
      <c r="AT516" s="12"/>
      <c r="AU516" s="12"/>
      <c r="BH516" s="12"/>
      <c r="BI516" s="12"/>
    </row>
    <row r="517">
      <c r="Z517" s="12"/>
      <c r="AA517" s="12"/>
      <c r="AT517" s="12"/>
      <c r="AU517" s="12"/>
      <c r="BH517" s="12"/>
      <c r="BI517" s="12"/>
    </row>
    <row r="518">
      <c r="Z518" s="12"/>
      <c r="AA518" s="12"/>
      <c r="AT518" s="12"/>
      <c r="AU518" s="12"/>
      <c r="BH518" s="12"/>
      <c r="BI518" s="12"/>
    </row>
    <row r="519">
      <c r="Z519" s="12"/>
      <c r="AA519" s="12"/>
      <c r="AT519" s="12"/>
      <c r="AU519" s="12"/>
      <c r="BH519" s="12"/>
      <c r="BI519" s="12"/>
    </row>
    <row r="520">
      <c r="Z520" s="12"/>
      <c r="AA520" s="12"/>
      <c r="AT520" s="12"/>
      <c r="AU520" s="12"/>
      <c r="BH520" s="12"/>
      <c r="BI520" s="12"/>
    </row>
    <row r="521">
      <c r="Z521" s="12"/>
      <c r="AA521" s="12"/>
      <c r="AT521" s="12"/>
      <c r="AU521" s="12"/>
      <c r="BH521" s="12"/>
      <c r="BI521" s="12"/>
    </row>
    <row r="522">
      <c r="Z522" s="12"/>
      <c r="AA522" s="12"/>
      <c r="AT522" s="12"/>
      <c r="AU522" s="12"/>
      <c r="BH522" s="12"/>
      <c r="BI522" s="12"/>
    </row>
    <row r="523">
      <c r="Z523" s="12"/>
      <c r="AA523" s="12"/>
      <c r="AT523" s="12"/>
      <c r="AU523" s="12"/>
      <c r="BH523" s="12"/>
      <c r="BI523" s="12"/>
    </row>
    <row r="524">
      <c r="Z524" s="12"/>
      <c r="AA524" s="12"/>
      <c r="AT524" s="12"/>
      <c r="AU524" s="12"/>
      <c r="BH524" s="12"/>
      <c r="BI524" s="12"/>
    </row>
    <row r="525">
      <c r="Z525" s="12"/>
      <c r="AA525" s="12"/>
      <c r="AT525" s="12"/>
      <c r="AU525" s="12"/>
      <c r="BH525" s="12"/>
      <c r="BI525" s="12"/>
    </row>
    <row r="526">
      <c r="Z526" s="12"/>
      <c r="AA526" s="12"/>
      <c r="AT526" s="12"/>
      <c r="AU526" s="12"/>
      <c r="BH526" s="12"/>
      <c r="BI526" s="12"/>
    </row>
    <row r="527">
      <c r="Z527" s="12"/>
      <c r="AA527" s="12"/>
      <c r="AT527" s="12"/>
      <c r="AU527" s="12"/>
      <c r="BH527" s="12"/>
      <c r="BI527" s="12"/>
    </row>
    <row r="528">
      <c r="Z528" s="12"/>
      <c r="AA528" s="12"/>
      <c r="AT528" s="12"/>
      <c r="AU528" s="12"/>
      <c r="BH528" s="12"/>
      <c r="BI528" s="12"/>
    </row>
    <row r="529">
      <c r="Z529" s="12"/>
      <c r="AA529" s="12"/>
      <c r="AT529" s="12"/>
      <c r="AU529" s="12"/>
      <c r="BH529" s="12"/>
      <c r="BI529" s="12"/>
    </row>
    <row r="530">
      <c r="Z530" s="12"/>
      <c r="AA530" s="12"/>
      <c r="AT530" s="12"/>
      <c r="AU530" s="12"/>
      <c r="BH530" s="12"/>
      <c r="BI530" s="12"/>
    </row>
    <row r="531">
      <c r="Z531" s="12"/>
      <c r="AA531" s="12"/>
      <c r="AT531" s="12"/>
      <c r="AU531" s="12"/>
      <c r="BH531" s="12"/>
      <c r="BI531" s="12"/>
    </row>
    <row r="532">
      <c r="Z532" s="12"/>
      <c r="AA532" s="12"/>
      <c r="AT532" s="12"/>
      <c r="AU532" s="12"/>
      <c r="BH532" s="12"/>
      <c r="BI532" s="12"/>
    </row>
    <row r="533">
      <c r="Z533" s="12"/>
      <c r="AA533" s="12"/>
      <c r="AT533" s="12"/>
      <c r="AU533" s="12"/>
      <c r="BH533" s="12"/>
      <c r="BI533" s="12"/>
    </row>
    <row r="534">
      <c r="Z534" s="12"/>
      <c r="AA534" s="12"/>
      <c r="AT534" s="12"/>
      <c r="AU534" s="12"/>
      <c r="BH534" s="12"/>
      <c r="BI534" s="12"/>
    </row>
    <row r="535">
      <c r="Z535" s="12"/>
      <c r="AA535" s="12"/>
      <c r="AT535" s="12"/>
      <c r="AU535" s="12"/>
      <c r="BH535" s="12"/>
      <c r="BI535" s="12"/>
    </row>
    <row r="536">
      <c r="Z536" s="12"/>
      <c r="AA536" s="12"/>
      <c r="AT536" s="12"/>
      <c r="AU536" s="12"/>
      <c r="BH536" s="12"/>
      <c r="BI536" s="12"/>
    </row>
    <row r="537">
      <c r="Z537" s="12"/>
      <c r="AA537" s="12"/>
      <c r="AT537" s="12"/>
      <c r="AU537" s="12"/>
      <c r="BH537" s="12"/>
      <c r="BI537" s="12"/>
    </row>
    <row r="538">
      <c r="Z538" s="12"/>
      <c r="AA538" s="12"/>
      <c r="AT538" s="12"/>
      <c r="AU538" s="12"/>
      <c r="BH538" s="12"/>
      <c r="BI538" s="12"/>
    </row>
    <row r="539">
      <c r="Z539" s="12"/>
      <c r="AA539" s="12"/>
      <c r="AT539" s="12"/>
      <c r="AU539" s="12"/>
      <c r="BH539" s="12"/>
      <c r="BI539" s="12"/>
    </row>
    <row r="540">
      <c r="Z540" s="12"/>
      <c r="AA540" s="12"/>
      <c r="AT540" s="12"/>
      <c r="AU540" s="12"/>
      <c r="BH540" s="12"/>
      <c r="BI540" s="12"/>
    </row>
    <row r="541">
      <c r="Z541" s="12"/>
      <c r="AA541" s="12"/>
      <c r="AT541" s="12"/>
      <c r="AU541" s="12"/>
      <c r="BH541" s="12"/>
      <c r="BI541" s="12"/>
    </row>
    <row r="542">
      <c r="Z542" s="12"/>
      <c r="AA542" s="12"/>
      <c r="AT542" s="12"/>
      <c r="AU542" s="12"/>
      <c r="BH542" s="12"/>
      <c r="BI542" s="12"/>
    </row>
    <row r="543">
      <c r="Z543" s="12"/>
      <c r="AA543" s="12"/>
      <c r="AT543" s="12"/>
      <c r="AU543" s="12"/>
      <c r="BH543" s="12"/>
      <c r="BI543" s="12"/>
    </row>
    <row r="544">
      <c r="Z544" s="12"/>
      <c r="AA544" s="12"/>
      <c r="AT544" s="12"/>
      <c r="AU544" s="12"/>
      <c r="BH544" s="12"/>
      <c r="BI544" s="12"/>
    </row>
    <row r="545">
      <c r="Z545" s="12"/>
      <c r="AA545" s="12"/>
      <c r="AT545" s="12"/>
      <c r="AU545" s="12"/>
      <c r="BH545" s="12"/>
      <c r="BI545" s="12"/>
    </row>
    <row r="546">
      <c r="Z546" s="12"/>
      <c r="AA546" s="12"/>
      <c r="AT546" s="12"/>
      <c r="AU546" s="12"/>
      <c r="BH546" s="12"/>
      <c r="BI546" s="12"/>
    </row>
    <row r="547">
      <c r="Z547" s="12"/>
      <c r="AA547" s="12"/>
      <c r="AT547" s="12"/>
      <c r="AU547" s="12"/>
      <c r="BH547" s="12"/>
      <c r="BI547" s="12"/>
    </row>
    <row r="548">
      <c r="Z548" s="12"/>
      <c r="AA548" s="12"/>
      <c r="AT548" s="12"/>
      <c r="AU548" s="12"/>
      <c r="BH548" s="12"/>
      <c r="BI548" s="12"/>
    </row>
    <row r="549">
      <c r="Z549" s="12"/>
      <c r="AA549" s="12"/>
      <c r="AT549" s="12"/>
      <c r="AU549" s="12"/>
      <c r="BH549" s="12"/>
      <c r="BI549" s="12"/>
    </row>
    <row r="550">
      <c r="Z550" s="12"/>
      <c r="AA550" s="12"/>
      <c r="AT550" s="12"/>
      <c r="AU550" s="12"/>
      <c r="BH550" s="12"/>
      <c r="BI550" s="12"/>
    </row>
    <row r="551">
      <c r="Z551" s="12"/>
      <c r="AA551" s="12"/>
      <c r="AT551" s="12"/>
      <c r="AU551" s="12"/>
      <c r="BH551" s="12"/>
      <c r="BI551" s="12"/>
    </row>
    <row r="552">
      <c r="Z552" s="12"/>
      <c r="AA552" s="12"/>
      <c r="AT552" s="12"/>
      <c r="AU552" s="12"/>
      <c r="BH552" s="12"/>
      <c r="BI552" s="12"/>
    </row>
    <row r="553">
      <c r="Z553" s="12"/>
      <c r="AA553" s="12"/>
      <c r="AT553" s="12"/>
      <c r="AU553" s="12"/>
      <c r="BH553" s="12"/>
      <c r="BI553" s="12"/>
    </row>
    <row r="554">
      <c r="Z554" s="12"/>
      <c r="AA554" s="12"/>
      <c r="AT554" s="12"/>
      <c r="AU554" s="12"/>
      <c r="BH554" s="12"/>
      <c r="BI554" s="12"/>
    </row>
    <row r="555">
      <c r="Z555" s="12"/>
      <c r="AA555" s="12"/>
      <c r="AT555" s="12"/>
      <c r="AU555" s="12"/>
      <c r="BH555" s="12"/>
      <c r="BI555" s="12"/>
    </row>
    <row r="556">
      <c r="Z556" s="12"/>
      <c r="AA556" s="12"/>
      <c r="AT556" s="12"/>
      <c r="AU556" s="12"/>
      <c r="BH556" s="12"/>
      <c r="BI556" s="12"/>
    </row>
    <row r="557">
      <c r="Z557" s="12"/>
      <c r="AA557" s="12"/>
      <c r="AT557" s="12"/>
      <c r="AU557" s="12"/>
      <c r="BH557" s="12"/>
      <c r="BI557" s="12"/>
    </row>
    <row r="558">
      <c r="Z558" s="12"/>
      <c r="AA558" s="12"/>
      <c r="AT558" s="12"/>
      <c r="AU558" s="12"/>
      <c r="BH558" s="12"/>
      <c r="BI558" s="12"/>
    </row>
    <row r="559">
      <c r="Z559" s="12"/>
      <c r="AA559" s="12"/>
      <c r="AT559" s="12"/>
      <c r="AU559" s="12"/>
      <c r="BH559" s="12"/>
      <c r="BI559" s="12"/>
    </row>
    <row r="560">
      <c r="Z560" s="12"/>
      <c r="AA560" s="12"/>
      <c r="AT560" s="12"/>
      <c r="AU560" s="12"/>
      <c r="BH560" s="12"/>
      <c r="BI560" s="12"/>
    </row>
    <row r="561">
      <c r="Z561" s="12"/>
      <c r="AA561" s="12"/>
      <c r="AT561" s="12"/>
      <c r="AU561" s="12"/>
      <c r="BH561" s="12"/>
      <c r="BI561" s="12"/>
    </row>
    <row r="562">
      <c r="Z562" s="12"/>
      <c r="AA562" s="12"/>
      <c r="AT562" s="12"/>
      <c r="AU562" s="12"/>
      <c r="BH562" s="12"/>
      <c r="BI562" s="12"/>
    </row>
    <row r="563">
      <c r="Z563" s="12"/>
      <c r="AA563" s="12"/>
      <c r="AT563" s="12"/>
      <c r="AU563" s="12"/>
      <c r="BH563" s="12"/>
      <c r="BI563" s="12"/>
    </row>
    <row r="564">
      <c r="Z564" s="12"/>
      <c r="AA564" s="12"/>
      <c r="AT564" s="12"/>
      <c r="AU564" s="12"/>
      <c r="BH564" s="12"/>
      <c r="BI564" s="12"/>
    </row>
    <row r="565">
      <c r="Z565" s="12"/>
      <c r="AA565" s="12"/>
      <c r="AT565" s="12"/>
      <c r="AU565" s="12"/>
      <c r="BH565" s="12"/>
      <c r="BI565" s="12"/>
    </row>
    <row r="566">
      <c r="Z566" s="12"/>
      <c r="AA566" s="12"/>
      <c r="AT566" s="12"/>
      <c r="AU566" s="12"/>
      <c r="BH566" s="12"/>
      <c r="BI566" s="12"/>
    </row>
    <row r="567">
      <c r="Z567" s="12"/>
      <c r="AA567" s="12"/>
      <c r="AT567" s="12"/>
      <c r="AU567" s="12"/>
      <c r="BH567" s="12"/>
      <c r="BI567" s="12"/>
    </row>
    <row r="568">
      <c r="Z568" s="12"/>
      <c r="AA568" s="12"/>
      <c r="AT568" s="12"/>
      <c r="AU568" s="12"/>
      <c r="BH568" s="12"/>
      <c r="BI568" s="12"/>
    </row>
    <row r="569">
      <c r="Z569" s="12"/>
      <c r="AA569" s="12"/>
      <c r="AT569" s="12"/>
      <c r="AU569" s="12"/>
      <c r="BH569" s="12"/>
      <c r="BI569" s="12"/>
    </row>
    <row r="570">
      <c r="Z570" s="12"/>
      <c r="AA570" s="12"/>
      <c r="AT570" s="12"/>
      <c r="AU570" s="12"/>
      <c r="BH570" s="12"/>
      <c r="BI570" s="12"/>
    </row>
    <row r="571">
      <c r="Z571" s="12"/>
      <c r="AA571" s="12"/>
      <c r="AT571" s="12"/>
      <c r="AU571" s="12"/>
      <c r="BH571" s="12"/>
      <c r="BI571" s="12"/>
    </row>
    <row r="572">
      <c r="Z572" s="12"/>
      <c r="AA572" s="12"/>
      <c r="AT572" s="12"/>
      <c r="AU572" s="12"/>
      <c r="BH572" s="12"/>
      <c r="BI572" s="12"/>
    </row>
    <row r="573">
      <c r="Z573" s="12"/>
      <c r="AA573" s="12"/>
      <c r="AT573" s="12"/>
      <c r="AU573" s="12"/>
      <c r="BH573" s="12"/>
      <c r="BI573" s="12"/>
    </row>
    <row r="574">
      <c r="Z574" s="12"/>
      <c r="AA574" s="12"/>
      <c r="AT574" s="12"/>
      <c r="AU574" s="12"/>
      <c r="BH574" s="12"/>
      <c r="BI574" s="12"/>
    </row>
    <row r="575">
      <c r="Z575" s="12"/>
      <c r="AA575" s="12"/>
      <c r="AT575" s="12"/>
      <c r="AU575" s="12"/>
      <c r="BH575" s="12"/>
      <c r="BI575" s="12"/>
    </row>
    <row r="576">
      <c r="Z576" s="12"/>
      <c r="AA576" s="12"/>
      <c r="AT576" s="12"/>
      <c r="AU576" s="12"/>
      <c r="BH576" s="12"/>
      <c r="BI576" s="12"/>
    </row>
    <row r="577">
      <c r="Z577" s="12"/>
      <c r="AA577" s="12"/>
      <c r="AT577" s="12"/>
      <c r="AU577" s="12"/>
      <c r="BH577" s="12"/>
      <c r="BI577" s="12"/>
    </row>
    <row r="578">
      <c r="Z578" s="12"/>
      <c r="AA578" s="12"/>
      <c r="AT578" s="12"/>
      <c r="AU578" s="12"/>
      <c r="BH578" s="12"/>
      <c r="BI578" s="12"/>
    </row>
    <row r="579">
      <c r="Z579" s="12"/>
      <c r="AA579" s="12"/>
      <c r="AT579" s="12"/>
      <c r="AU579" s="12"/>
      <c r="BH579" s="12"/>
      <c r="BI579" s="12"/>
    </row>
    <row r="580">
      <c r="Z580" s="12"/>
      <c r="AA580" s="12"/>
      <c r="AT580" s="12"/>
      <c r="AU580" s="12"/>
      <c r="BH580" s="12"/>
      <c r="BI580" s="12"/>
    </row>
    <row r="581">
      <c r="Z581" s="12"/>
      <c r="AA581" s="12"/>
      <c r="AT581" s="12"/>
      <c r="AU581" s="12"/>
      <c r="BH581" s="12"/>
      <c r="BI581" s="12"/>
    </row>
    <row r="582">
      <c r="Z582" s="12"/>
      <c r="AA582" s="12"/>
      <c r="AT582" s="12"/>
      <c r="AU582" s="12"/>
      <c r="BH582" s="12"/>
      <c r="BI582" s="12"/>
    </row>
    <row r="583">
      <c r="Z583" s="12"/>
      <c r="AA583" s="12"/>
      <c r="AT583" s="12"/>
      <c r="AU583" s="12"/>
      <c r="BH583" s="12"/>
      <c r="BI583" s="12"/>
    </row>
    <row r="584">
      <c r="Z584" s="12"/>
      <c r="AA584" s="12"/>
      <c r="AT584" s="12"/>
      <c r="AU584" s="12"/>
      <c r="BH584" s="12"/>
      <c r="BI584" s="12"/>
    </row>
    <row r="585">
      <c r="Z585" s="12"/>
      <c r="AA585" s="12"/>
      <c r="AT585" s="12"/>
      <c r="AU585" s="12"/>
      <c r="BH585" s="12"/>
      <c r="BI585" s="12"/>
    </row>
    <row r="586">
      <c r="Z586" s="12"/>
      <c r="AA586" s="12"/>
      <c r="AT586" s="12"/>
      <c r="AU586" s="12"/>
      <c r="BH586" s="12"/>
      <c r="BI586" s="12"/>
    </row>
    <row r="587">
      <c r="Z587" s="12"/>
      <c r="AA587" s="12"/>
      <c r="AT587" s="12"/>
      <c r="AU587" s="12"/>
      <c r="BH587" s="12"/>
      <c r="BI587" s="12"/>
    </row>
    <row r="588">
      <c r="Z588" s="12"/>
      <c r="AA588" s="12"/>
      <c r="AT588" s="12"/>
      <c r="AU588" s="12"/>
      <c r="BH588" s="12"/>
      <c r="BI588" s="12"/>
    </row>
    <row r="589">
      <c r="Z589" s="12"/>
      <c r="AA589" s="12"/>
      <c r="AT589" s="12"/>
      <c r="AU589" s="12"/>
      <c r="BH589" s="12"/>
      <c r="BI589" s="12"/>
    </row>
    <row r="590">
      <c r="Z590" s="12"/>
      <c r="AA590" s="12"/>
      <c r="AT590" s="12"/>
      <c r="AU590" s="12"/>
      <c r="BH590" s="12"/>
      <c r="BI590" s="12"/>
    </row>
    <row r="591">
      <c r="Z591" s="12"/>
      <c r="AA591" s="12"/>
      <c r="AT591" s="12"/>
      <c r="AU591" s="12"/>
      <c r="BH591" s="12"/>
      <c r="BI591" s="12"/>
    </row>
    <row r="592">
      <c r="Z592" s="12"/>
      <c r="AA592" s="12"/>
      <c r="AT592" s="12"/>
      <c r="AU592" s="12"/>
      <c r="BH592" s="12"/>
      <c r="BI592" s="12"/>
    </row>
    <row r="593">
      <c r="Z593" s="12"/>
      <c r="AA593" s="12"/>
      <c r="AT593" s="12"/>
      <c r="AU593" s="12"/>
      <c r="BH593" s="12"/>
      <c r="BI593" s="12"/>
    </row>
    <row r="594">
      <c r="Z594" s="12"/>
      <c r="AA594" s="12"/>
      <c r="AT594" s="12"/>
      <c r="AU594" s="12"/>
      <c r="BH594" s="12"/>
      <c r="BI594" s="12"/>
    </row>
    <row r="595">
      <c r="Z595" s="12"/>
      <c r="AA595" s="12"/>
      <c r="AT595" s="12"/>
      <c r="AU595" s="12"/>
      <c r="BH595" s="12"/>
      <c r="BI595" s="12"/>
    </row>
    <row r="596">
      <c r="Z596" s="12"/>
      <c r="AA596" s="12"/>
      <c r="AT596" s="12"/>
      <c r="AU596" s="12"/>
      <c r="BH596" s="12"/>
      <c r="BI596" s="12"/>
    </row>
    <row r="597">
      <c r="Z597" s="12"/>
      <c r="AA597" s="12"/>
      <c r="AT597" s="12"/>
      <c r="AU597" s="12"/>
      <c r="BH597" s="12"/>
      <c r="BI597" s="12"/>
    </row>
    <row r="598">
      <c r="Z598" s="12"/>
      <c r="AA598" s="12"/>
      <c r="AT598" s="12"/>
      <c r="AU598" s="12"/>
      <c r="BH598" s="12"/>
      <c r="BI598" s="12"/>
    </row>
    <row r="599">
      <c r="Z599" s="12"/>
      <c r="AA599" s="12"/>
      <c r="AT599" s="12"/>
      <c r="AU599" s="12"/>
      <c r="BH599" s="12"/>
      <c r="BI599" s="12"/>
    </row>
    <row r="600">
      <c r="Z600" s="12"/>
      <c r="AA600" s="12"/>
      <c r="AT600" s="12"/>
      <c r="AU600" s="12"/>
      <c r="BH600" s="12"/>
      <c r="BI600" s="12"/>
    </row>
    <row r="601">
      <c r="Z601" s="12"/>
      <c r="AA601" s="12"/>
      <c r="AT601" s="12"/>
      <c r="AU601" s="12"/>
      <c r="BH601" s="12"/>
      <c r="BI601" s="12"/>
    </row>
    <row r="602">
      <c r="Z602" s="12"/>
      <c r="AA602" s="12"/>
      <c r="AT602" s="12"/>
      <c r="AU602" s="12"/>
      <c r="BH602" s="12"/>
      <c r="BI602" s="12"/>
    </row>
    <row r="603">
      <c r="Z603" s="12"/>
      <c r="AA603" s="12"/>
      <c r="AT603" s="12"/>
      <c r="AU603" s="12"/>
      <c r="BH603" s="12"/>
      <c r="BI603" s="12"/>
    </row>
    <row r="604">
      <c r="Z604" s="12"/>
      <c r="AA604" s="12"/>
      <c r="AT604" s="12"/>
      <c r="AU604" s="12"/>
      <c r="BH604" s="12"/>
      <c r="BI604" s="12"/>
    </row>
    <row r="605">
      <c r="Z605" s="12"/>
      <c r="AA605" s="12"/>
      <c r="AT605" s="12"/>
      <c r="AU605" s="12"/>
      <c r="BH605" s="12"/>
      <c r="BI605" s="12"/>
    </row>
    <row r="606">
      <c r="Z606" s="12"/>
      <c r="AA606" s="12"/>
      <c r="AT606" s="12"/>
      <c r="AU606" s="12"/>
      <c r="BH606" s="12"/>
      <c r="BI606" s="12"/>
    </row>
    <row r="607">
      <c r="Z607" s="12"/>
      <c r="AA607" s="12"/>
      <c r="AT607" s="12"/>
      <c r="AU607" s="12"/>
      <c r="BH607" s="12"/>
      <c r="BI607" s="12"/>
    </row>
    <row r="608">
      <c r="Z608" s="12"/>
      <c r="AA608" s="12"/>
      <c r="AT608" s="12"/>
      <c r="AU608" s="12"/>
      <c r="BH608" s="12"/>
      <c r="BI608" s="12"/>
    </row>
    <row r="609">
      <c r="Z609" s="12"/>
      <c r="AA609" s="12"/>
      <c r="AT609" s="12"/>
      <c r="AU609" s="12"/>
      <c r="BH609" s="12"/>
      <c r="BI609" s="12"/>
    </row>
    <row r="610">
      <c r="Z610" s="12"/>
      <c r="AA610" s="12"/>
      <c r="AT610" s="12"/>
      <c r="AU610" s="12"/>
      <c r="BH610" s="12"/>
      <c r="BI610" s="12"/>
    </row>
    <row r="611">
      <c r="Z611" s="12"/>
      <c r="AA611" s="12"/>
      <c r="AT611" s="12"/>
      <c r="AU611" s="12"/>
      <c r="BH611" s="12"/>
      <c r="BI611" s="12"/>
    </row>
    <row r="612">
      <c r="Z612" s="12"/>
      <c r="AA612" s="12"/>
      <c r="AT612" s="12"/>
      <c r="AU612" s="12"/>
      <c r="BH612" s="12"/>
      <c r="BI612" s="12"/>
    </row>
    <row r="613">
      <c r="Z613" s="12"/>
      <c r="AA613" s="12"/>
      <c r="AT613" s="12"/>
      <c r="AU613" s="12"/>
      <c r="BH613" s="12"/>
      <c r="BI613" s="12"/>
    </row>
    <row r="614">
      <c r="Z614" s="12"/>
      <c r="AA614" s="12"/>
      <c r="AT614" s="12"/>
      <c r="AU614" s="12"/>
      <c r="BH614" s="12"/>
      <c r="BI614" s="12"/>
    </row>
    <row r="615">
      <c r="Z615" s="12"/>
      <c r="AA615" s="12"/>
      <c r="AT615" s="12"/>
      <c r="AU615" s="12"/>
      <c r="BH615" s="12"/>
      <c r="BI615" s="12"/>
    </row>
    <row r="616">
      <c r="Z616" s="12"/>
      <c r="AA616" s="12"/>
      <c r="AT616" s="12"/>
      <c r="AU616" s="12"/>
      <c r="BH616" s="12"/>
      <c r="BI616" s="12"/>
    </row>
    <row r="617">
      <c r="Z617" s="12"/>
      <c r="AA617" s="12"/>
      <c r="AT617" s="12"/>
      <c r="AU617" s="12"/>
      <c r="BH617" s="12"/>
      <c r="BI617" s="12"/>
    </row>
    <row r="618">
      <c r="Z618" s="12"/>
      <c r="AA618" s="12"/>
      <c r="AT618" s="12"/>
      <c r="AU618" s="12"/>
      <c r="BH618" s="12"/>
      <c r="BI618" s="12"/>
    </row>
    <row r="619">
      <c r="Z619" s="12"/>
      <c r="AA619" s="12"/>
      <c r="AT619" s="12"/>
      <c r="AU619" s="12"/>
      <c r="BH619" s="12"/>
      <c r="BI619" s="12"/>
    </row>
    <row r="620">
      <c r="Z620" s="12"/>
      <c r="AA620" s="12"/>
      <c r="AT620" s="12"/>
      <c r="AU620" s="12"/>
      <c r="BH620" s="12"/>
      <c r="BI620" s="12"/>
    </row>
    <row r="621">
      <c r="Z621" s="12"/>
      <c r="AA621" s="12"/>
      <c r="AT621" s="12"/>
      <c r="AU621" s="12"/>
      <c r="BH621" s="12"/>
      <c r="BI621" s="12"/>
    </row>
    <row r="622">
      <c r="Z622" s="12"/>
      <c r="AA622" s="12"/>
      <c r="AT622" s="12"/>
      <c r="AU622" s="12"/>
      <c r="BH622" s="12"/>
      <c r="BI622" s="12"/>
    </row>
    <row r="623">
      <c r="Z623" s="12"/>
      <c r="AA623" s="12"/>
      <c r="AT623" s="12"/>
      <c r="AU623" s="12"/>
      <c r="BH623" s="12"/>
      <c r="BI623" s="12"/>
    </row>
    <row r="624">
      <c r="Z624" s="12"/>
      <c r="AA624" s="12"/>
      <c r="AT624" s="12"/>
      <c r="AU624" s="12"/>
      <c r="BH624" s="12"/>
      <c r="BI624" s="12"/>
    </row>
    <row r="625">
      <c r="Z625" s="12"/>
      <c r="AA625" s="12"/>
      <c r="AT625" s="12"/>
      <c r="AU625" s="12"/>
      <c r="BH625" s="12"/>
      <c r="BI625" s="12"/>
    </row>
    <row r="626">
      <c r="Z626" s="12"/>
      <c r="AA626" s="12"/>
      <c r="AT626" s="12"/>
      <c r="AU626" s="12"/>
      <c r="BH626" s="12"/>
      <c r="BI626" s="12"/>
    </row>
    <row r="627">
      <c r="Z627" s="12"/>
      <c r="AA627" s="12"/>
      <c r="AT627" s="12"/>
      <c r="AU627" s="12"/>
      <c r="BH627" s="12"/>
      <c r="BI627" s="12"/>
    </row>
    <row r="628">
      <c r="Z628" s="12"/>
      <c r="AA628" s="12"/>
      <c r="AT628" s="12"/>
      <c r="AU628" s="12"/>
      <c r="BH628" s="12"/>
      <c r="BI628" s="12"/>
    </row>
    <row r="629">
      <c r="Z629" s="12"/>
      <c r="AA629" s="12"/>
      <c r="AT629" s="12"/>
      <c r="AU629" s="12"/>
      <c r="BH629" s="12"/>
      <c r="BI629" s="12"/>
    </row>
    <row r="630">
      <c r="Z630" s="12"/>
      <c r="AA630" s="12"/>
      <c r="AT630" s="12"/>
      <c r="AU630" s="12"/>
      <c r="BH630" s="12"/>
      <c r="BI630" s="12"/>
    </row>
    <row r="631">
      <c r="Z631" s="12"/>
      <c r="AA631" s="12"/>
      <c r="AT631" s="12"/>
      <c r="AU631" s="12"/>
      <c r="BH631" s="12"/>
      <c r="BI631" s="12"/>
    </row>
    <row r="632">
      <c r="Z632" s="12"/>
      <c r="AA632" s="12"/>
      <c r="AT632" s="12"/>
      <c r="AU632" s="12"/>
      <c r="BH632" s="12"/>
      <c r="BI632" s="12"/>
    </row>
    <row r="633">
      <c r="Z633" s="12"/>
      <c r="AA633" s="12"/>
      <c r="AT633" s="12"/>
      <c r="AU633" s="12"/>
      <c r="BH633" s="12"/>
      <c r="BI633" s="12"/>
    </row>
    <row r="634">
      <c r="Z634" s="12"/>
      <c r="AA634" s="12"/>
      <c r="AT634" s="12"/>
      <c r="AU634" s="12"/>
      <c r="BH634" s="12"/>
      <c r="BI634" s="12"/>
    </row>
    <row r="635">
      <c r="Z635" s="12"/>
      <c r="AA635" s="12"/>
      <c r="AT635" s="12"/>
      <c r="AU635" s="12"/>
      <c r="BH635" s="12"/>
      <c r="BI635" s="12"/>
    </row>
    <row r="636">
      <c r="Z636" s="12"/>
      <c r="AA636" s="12"/>
      <c r="AT636" s="12"/>
      <c r="AU636" s="12"/>
      <c r="BH636" s="12"/>
      <c r="BI636" s="12"/>
    </row>
    <row r="637">
      <c r="Z637" s="12"/>
      <c r="AA637" s="12"/>
      <c r="AT637" s="12"/>
      <c r="AU637" s="12"/>
      <c r="BH637" s="12"/>
      <c r="BI637" s="12"/>
    </row>
    <row r="638">
      <c r="Z638" s="12"/>
      <c r="AA638" s="12"/>
      <c r="AT638" s="12"/>
      <c r="AU638" s="12"/>
      <c r="BH638" s="12"/>
      <c r="BI638" s="12"/>
    </row>
    <row r="639">
      <c r="Z639" s="12"/>
      <c r="AA639" s="12"/>
      <c r="AT639" s="12"/>
      <c r="AU639" s="12"/>
      <c r="BH639" s="12"/>
      <c r="BI639" s="12"/>
    </row>
    <row r="640">
      <c r="Z640" s="12"/>
      <c r="AA640" s="12"/>
      <c r="AT640" s="12"/>
      <c r="AU640" s="12"/>
      <c r="BH640" s="12"/>
      <c r="BI640" s="12"/>
    </row>
    <row r="641">
      <c r="Z641" s="12"/>
      <c r="AA641" s="12"/>
      <c r="AT641" s="12"/>
      <c r="AU641" s="12"/>
      <c r="BH641" s="12"/>
      <c r="BI641" s="12"/>
    </row>
    <row r="642">
      <c r="Z642" s="12"/>
      <c r="AA642" s="12"/>
      <c r="AT642" s="12"/>
      <c r="AU642" s="12"/>
      <c r="BH642" s="12"/>
      <c r="BI642" s="12"/>
    </row>
    <row r="643">
      <c r="Z643" s="12"/>
      <c r="AA643" s="12"/>
      <c r="AT643" s="12"/>
      <c r="AU643" s="12"/>
      <c r="BH643" s="12"/>
      <c r="BI643" s="12"/>
    </row>
    <row r="644">
      <c r="Z644" s="12"/>
      <c r="AA644" s="12"/>
      <c r="AT644" s="12"/>
      <c r="AU644" s="12"/>
      <c r="BH644" s="12"/>
      <c r="BI644" s="12"/>
    </row>
    <row r="645">
      <c r="Z645" s="12"/>
      <c r="AA645" s="12"/>
      <c r="AT645" s="12"/>
      <c r="AU645" s="12"/>
      <c r="BH645" s="12"/>
      <c r="BI645" s="12"/>
    </row>
    <row r="646">
      <c r="Z646" s="12"/>
      <c r="AA646" s="12"/>
      <c r="AT646" s="12"/>
      <c r="AU646" s="12"/>
      <c r="BH646" s="12"/>
      <c r="BI646" s="12"/>
    </row>
    <row r="647">
      <c r="Z647" s="12"/>
      <c r="AA647" s="12"/>
      <c r="AT647" s="12"/>
      <c r="AU647" s="12"/>
      <c r="BH647" s="12"/>
      <c r="BI647" s="12"/>
    </row>
    <row r="648">
      <c r="Z648" s="12"/>
      <c r="AA648" s="12"/>
      <c r="AT648" s="12"/>
      <c r="AU648" s="12"/>
      <c r="BH648" s="12"/>
      <c r="BI648" s="12"/>
    </row>
    <row r="649">
      <c r="Z649" s="12"/>
      <c r="AA649" s="12"/>
      <c r="AT649" s="12"/>
      <c r="AU649" s="12"/>
      <c r="BH649" s="12"/>
      <c r="BI649" s="12"/>
    </row>
    <row r="650">
      <c r="Z650" s="12"/>
      <c r="AA650" s="12"/>
      <c r="AT650" s="12"/>
      <c r="AU650" s="12"/>
      <c r="BH650" s="12"/>
      <c r="BI650" s="12"/>
    </row>
    <row r="651">
      <c r="Z651" s="12"/>
      <c r="AA651" s="12"/>
      <c r="AT651" s="12"/>
      <c r="AU651" s="12"/>
      <c r="BH651" s="12"/>
      <c r="BI651" s="12"/>
    </row>
    <row r="652">
      <c r="Z652" s="12"/>
      <c r="AA652" s="12"/>
      <c r="AT652" s="12"/>
      <c r="AU652" s="12"/>
      <c r="BH652" s="12"/>
      <c r="BI652" s="12"/>
    </row>
    <row r="653">
      <c r="Z653" s="12"/>
      <c r="AA653" s="12"/>
      <c r="AT653" s="12"/>
      <c r="AU653" s="12"/>
      <c r="BH653" s="12"/>
      <c r="BI653" s="12"/>
    </row>
    <row r="654">
      <c r="Z654" s="12"/>
      <c r="AA654" s="12"/>
      <c r="AT654" s="12"/>
      <c r="AU654" s="12"/>
      <c r="BH654" s="12"/>
      <c r="BI654" s="12"/>
    </row>
    <row r="655">
      <c r="Z655" s="12"/>
      <c r="AA655" s="12"/>
      <c r="AT655" s="12"/>
      <c r="AU655" s="12"/>
      <c r="BH655" s="12"/>
      <c r="BI655" s="12"/>
    </row>
    <row r="656">
      <c r="Z656" s="12"/>
      <c r="AA656" s="12"/>
      <c r="AT656" s="12"/>
      <c r="AU656" s="12"/>
      <c r="BH656" s="12"/>
      <c r="BI656" s="12"/>
    </row>
    <row r="657">
      <c r="Z657" s="12"/>
      <c r="AA657" s="12"/>
      <c r="AT657" s="12"/>
      <c r="AU657" s="12"/>
      <c r="BH657" s="12"/>
      <c r="BI657" s="12"/>
    </row>
    <row r="658">
      <c r="Z658" s="12"/>
      <c r="AA658" s="12"/>
      <c r="AT658" s="12"/>
      <c r="AU658" s="12"/>
      <c r="BH658" s="12"/>
      <c r="BI658" s="12"/>
    </row>
    <row r="659">
      <c r="Z659" s="12"/>
      <c r="AA659" s="12"/>
      <c r="AT659" s="12"/>
      <c r="AU659" s="12"/>
      <c r="BH659" s="12"/>
      <c r="BI659" s="12"/>
    </row>
    <row r="660">
      <c r="Z660" s="12"/>
      <c r="AA660" s="12"/>
      <c r="AT660" s="12"/>
      <c r="AU660" s="12"/>
      <c r="BH660" s="12"/>
      <c r="BI660" s="12"/>
    </row>
    <row r="661">
      <c r="Z661" s="12"/>
      <c r="AA661" s="12"/>
      <c r="AT661" s="12"/>
      <c r="AU661" s="12"/>
      <c r="BH661" s="12"/>
      <c r="BI661" s="12"/>
    </row>
    <row r="662">
      <c r="Z662" s="12"/>
      <c r="AA662" s="12"/>
      <c r="AT662" s="12"/>
      <c r="AU662" s="12"/>
      <c r="BH662" s="12"/>
      <c r="BI662" s="12"/>
    </row>
    <row r="663">
      <c r="Z663" s="12"/>
      <c r="AA663" s="12"/>
      <c r="AT663" s="12"/>
      <c r="AU663" s="12"/>
      <c r="BH663" s="12"/>
      <c r="BI663" s="12"/>
    </row>
    <row r="664">
      <c r="Z664" s="12"/>
      <c r="AA664" s="12"/>
      <c r="AT664" s="12"/>
      <c r="AU664" s="12"/>
      <c r="BH664" s="12"/>
      <c r="BI664" s="12"/>
    </row>
    <row r="665">
      <c r="Z665" s="12"/>
      <c r="AA665" s="12"/>
      <c r="AT665" s="12"/>
      <c r="AU665" s="12"/>
      <c r="BH665" s="12"/>
      <c r="BI665" s="12"/>
    </row>
    <row r="666">
      <c r="Z666" s="12"/>
      <c r="AA666" s="12"/>
      <c r="AT666" s="12"/>
      <c r="AU666" s="12"/>
      <c r="BH666" s="12"/>
      <c r="BI666" s="12"/>
    </row>
    <row r="667">
      <c r="Z667" s="12"/>
      <c r="AA667" s="12"/>
      <c r="AT667" s="12"/>
      <c r="AU667" s="12"/>
      <c r="BH667" s="12"/>
      <c r="BI667" s="12"/>
    </row>
    <row r="668">
      <c r="Z668" s="12"/>
      <c r="AA668" s="12"/>
      <c r="AT668" s="12"/>
      <c r="AU668" s="12"/>
      <c r="BH668" s="12"/>
      <c r="BI668" s="12"/>
    </row>
    <row r="669">
      <c r="Z669" s="12"/>
      <c r="AA669" s="12"/>
      <c r="AT669" s="12"/>
      <c r="AU669" s="12"/>
      <c r="BH669" s="12"/>
      <c r="BI669" s="12"/>
    </row>
    <row r="670">
      <c r="Z670" s="12"/>
      <c r="AA670" s="12"/>
      <c r="AT670" s="12"/>
      <c r="AU670" s="12"/>
      <c r="BH670" s="12"/>
      <c r="BI670" s="12"/>
    </row>
    <row r="671">
      <c r="Z671" s="12"/>
      <c r="AA671" s="12"/>
      <c r="AT671" s="12"/>
      <c r="AU671" s="12"/>
      <c r="BH671" s="12"/>
      <c r="BI671" s="12"/>
    </row>
    <row r="672">
      <c r="Z672" s="12"/>
      <c r="AA672" s="12"/>
      <c r="AT672" s="12"/>
      <c r="AU672" s="12"/>
      <c r="BH672" s="12"/>
      <c r="BI672" s="12"/>
    </row>
    <row r="673">
      <c r="Z673" s="12"/>
      <c r="AA673" s="12"/>
      <c r="AT673" s="12"/>
      <c r="AU673" s="12"/>
      <c r="BH673" s="12"/>
      <c r="BI673" s="12"/>
    </row>
    <row r="674">
      <c r="Z674" s="12"/>
      <c r="AA674" s="12"/>
      <c r="AT674" s="12"/>
      <c r="AU674" s="12"/>
      <c r="BH674" s="12"/>
      <c r="BI674" s="12"/>
    </row>
    <row r="675">
      <c r="Z675" s="12"/>
      <c r="AA675" s="12"/>
      <c r="AT675" s="12"/>
      <c r="AU675" s="12"/>
      <c r="BH675" s="12"/>
      <c r="BI675" s="12"/>
    </row>
    <row r="676">
      <c r="Z676" s="12"/>
      <c r="AA676" s="12"/>
      <c r="AT676" s="12"/>
      <c r="AU676" s="12"/>
      <c r="BH676" s="12"/>
      <c r="BI676" s="12"/>
    </row>
    <row r="677">
      <c r="Z677" s="12"/>
      <c r="AA677" s="12"/>
      <c r="AT677" s="12"/>
      <c r="AU677" s="12"/>
      <c r="BH677" s="12"/>
      <c r="BI677" s="12"/>
    </row>
    <row r="678">
      <c r="Z678" s="12"/>
      <c r="AA678" s="12"/>
      <c r="AT678" s="12"/>
      <c r="AU678" s="12"/>
      <c r="BH678" s="12"/>
      <c r="BI678" s="12"/>
    </row>
    <row r="679">
      <c r="Z679" s="12"/>
      <c r="AA679" s="12"/>
      <c r="AT679" s="12"/>
      <c r="AU679" s="12"/>
      <c r="BH679" s="12"/>
      <c r="BI679" s="12"/>
    </row>
    <row r="680">
      <c r="Z680" s="12"/>
      <c r="AA680" s="12"/>
      <c r="AT680" s="12"/>
      <c r="AU680" s="12"/>
      <c r="BH680" s="12"/>
      <c r="BI680" s="12"/>
    </row>
    <row r="681">
      <c r="Z681" s="12"/>
      <c r="AA681" s="12"/>
      <c r="AT681" s="12"/>
      <c r="AU681" s="12"/>
      <c r="BH681" s="12"/>
      <c r="BI681" s="12"/>
    </row>
    <row r="682">
      <c r="Z682" s="12"/>
      <c r="AA682" s="12"/>
      <c r="AT682" s="12"/>
      <c r="AU682" s="12"/>
      <c r="BH682" s="12"/>
      <c r="BI682" s="12"/>
    </row>
    <row r="683">
      <c r="Z683" s="12"/>
      <c r="AA683" s="12"/>
      <c r="AT683" s="12"/>
      <c r="AU683" s="12"/>
      <c r="BH683" s="12"/>
      <c r="BI683" s="12"/>
    </row>
    <row r="684">
      <c r="Z684" s="12"/>
      <c r="AA684" s="12"/>
      <c r="AT684" s="12"/>
      <c r="AU684" s="12"/>
      <c r="BH684" s="12"/>
      <c r="BI684" s="12"/>
    </row>
    <row r="685">
      <c r="Z685" s="12"/>
      <c r="AA685" s="12"/>
      <c r="AT685" s="12"/>
      <c r="AU685" s="12"/>
      <c r="BH685" s="12"/>
      <c r="BI685" s="12"/>
    </row>
    <row r="686">
      <c r="Z686" s="12"/>
      <c r="AA686" s="12"/>
      <c r="AT686" s="12"/>
      <c r="AU686" s="12"/>
      <c r="BH686" s="12"/>
      <c r="BI686" s="12"/>
    </row>
    <row r="687">
      <c r="Z687" s="12"/>
      <c r="AA687" s="12"/>
      <c r="AT687" s="12"/>
      <c r="AU687" s="12"/>
      <c r="BH687" s="12"/>
      <c r="BI687" s="12"/>
    </row>
    <row r="688">
      <c r="Z688" s="12"/>
      <c r="AA688" s="12"/>
      <c r="AT688" s="12"/>
      <c r="AU688" s="12"/>
      <c r="BH688" s="12"/>
      <c r="BI688" s="12"/>
    </row>
    <row r="689">
      <c r="Z689" s="12"/>
      <c r="AA689" s="12"/>
      <c r="AT689" s="12"/>
      <c r="AU689" s="12"/>
      <c r="BH689" s="12"/>
      <c r="BI689" s="12"/>
    </row>
    <row r="690">
      <c r="Z690" s="12"/>
      <c r="AA690" s="12"/>
      <c r="AT690" s="12"/>
      <c r="AU690" s="12"/>
      <c r="BH690" s="12"/>
      <c r="BI690" s="12"/>
    </row>
    <row r="691">
      <c r="Z691" s="12"/>
      <c r="AA691" s="12"/>
      <c r="AT691" s="12"/>
      <c r="AU691" s="12"/>
      <c r="BH691" s="12"/>
      <c r="BI691" s="12"/>
    </row>
    <row r="692">
      <c r="Z692" s="12"/>
      <c r="AA692" s="12"/>
      <c r="AT692" s="12"/>
      <c r="AU692" s="12"/>
      <c r="BH692" s="12"/>
      <c r="BI692" s="12"/>
    </row>
    <row r="693">
      <c r="Z693" s="12"/>
      <c r="AA693" s="12"/>
      <c r="AT693" s="12"/>
      <c r="AU693" s="12"/>
      <c r="BH693" s="12"/>
      <c r="BI693" s="12"/>
    </row>
    <row r="694">
      <c r="Z694" s="12"/>
      <c r="AA694" s="12"/>
      <c r="AT694" s="12"/>
      <c r="AU694" s="12"/>
      <c r="BH694" s="12"/>
      <c r="BI694" s="12"/>
    </row>
    <row r="695">
      <c r="Z695" s="12"/>
      <c r="AA695" s="12"/>
      <c r="AT695" s="12"/>
      <c r="AU695" s="12"/>
      <c r="BH695" s="12"/>
      <c r="BI695" s="12"/>
    </row>
    <row r="696">
      <c r="Z696" s="12"/>
      <c r="AA696" s="12"/>
      <c r="AT696" s="12"/>
      <c r="AU696" s="12"/>
      <c r="BH696" s="12"/>
      <c r="BI696" s="12"/>
    </row>
    <row r="697">
      <c r="Z697" s="12"/>
      <c r="AA697" s="12"/>
      <c r="AT697" s="12"/>
      <c r="AU697" s="12"/>
      <c r="BH697" s="12"/>
      <c r="BI697" s="12"/>
    </row>
    <row r="698">
      <c r="Z698" s="12"/>
      <c r="AA698" s="12"/>
      <c r="AT698" s="12"/>
      <c r="AU698" s="12"/>
      <c r="BH698" s="12"/>
      <c r="BI698" s="12"/>
    </row>
    <row r="699">
      <c r="Z699" s="12"/>
      <c r="AA699" s="12"/>
      <c r="AT699" s="12"/>
      <c r="AU699" s="12"/>
      <c r="BH699" s="12"/>
      <c r="BI699" s="12"/>
    </row>
    <row r="700">
      <c r="Z700" s="12"/>
      <c r="AA700" s="12"/>
      <c r="AT700" s="12"/>
      <c r="AU700" s="12"/>
      <c r="BH700" s="12"/>
      <c r="BI700" s="12"/>
    </row>
    <row r="701">
      <c r="Z701" s="12"/>
      <c r="AA701" s="12"/>
      <c r="AT701" s="12"/>
      <c r="AU701" s="12"/>
      <c r="BH701" s="12"/>
      <c r="BI701" s="12"/>
    </row>
    <row r="702">
      <c r="Z702" s="12"/>
      <c r="AA702" s="12"/>
      <c r="AT702" s="12"/>
      <c r="AU702" s="12"/>
      <c r="BH702" s="12"/>
      <c r="BI702" s="12"/>
    </row>
    <row r="703">
      <c r="Z703" s="12"/>
      <c r="AA703" s="12"/>
      <c r="AT703" s="12"/>
      <c r="AU703" s="12"/>
      <c r="BH703" s="12"/>
      <c r="BI703" s="12"/>
    </row>
    <row r="704">
      <c r="Z704" s="12"/>
      <c r="AA704" s="12"/>
      <c r="AT704" s="12"/>
      <c r="AU704" s="12"/>
      <c r="BH704" s="12"/>
      <c r="BI704" s="12"/>
    </row>
    <row r="705">
      <c r="Z705" s="12"/>
      <c r="AA705" s="12"/>
      <c r="AT705" s="12"/>
      <c r="AU705" s="12"/>
      <c r="BH705" s="12"/>
      <c r="BI705" s="12"/>
    </row>
    <row r="706">
      <c r="Z706" s="12"/>
      <c r="AA706" s="12"/>
      <c r="AT706" s="12"/>
      <c r="AU706" s="12"/>
      <c r="BH706" s="12"/>
      <c r="BI706" s="12"/>
    </row>
    <row r="707">
      <c r="Z707" s="12"/>
      <c r="AA707" s="12"/>
      <c r="AT707" s="12"/>
      <c r="AU707" s="12"/>
      <c r="BH707" s="12"/>
      <c r="BI707" s="12"/>
    </row>
    <row r="708">
      <c r="Z708" s="12"/>
      <c r="AA708" s="12"/>
      <c r="AT708" s="12"/>
      <c r="AU708" s="12"/>
      <c r="BH708" s="12"/>
      <c r="BI708" s="12"/>
    </row>
    <row r="709">
      <c r="Z709" s="12"/>
      <c r="AA709" s="12"/>
      <c r="AT709" s="12"/>
      <c r="AU709" s="12"/>
      <c r="BH709" s="12"/>
      <c r="BI709" s="12"/>
    </row>
    <row r="710">
      <c r="Z710" s="12"/>
      <c r="AA710" s="12"/>
      <c r="AT710" s="12"/>
      <c r="AU710" s="12"/>
      <c r="BH710" s="12"/>
      <c r="BI710" s="12"/>
    </row>
    <row r="711">
      <c r="Z711" s="12"/>
      <c r="AA711" s="12"/>
      <c r="AT711" s="12"/>
      <c r="AU711" s="12"/>
      <c r="BH711" s="12"/>
      <c r="BI711" s="12"/>
    </row>
    <row r="712">
      <c r="Z712" s="12"/>
      <c r="AA712" s="12"/>
      <c r="AT712" s="12"/>
      <c r="AU712" s="12"/>
      <c r="BH712" s="12"/>
      <c r="BI712" s="12"/>
    </row>
    <row r="713">
      <c r="Z713" s="12"/>
      <c r="AA713" s="12"/>
      <c r="AT713" s="12"/>
      <c r="AU713" s="12"/>
      <c r="BH713" s="12"/>
      <c r="BI713" s="12"/>
    </row>
    <row r="714">
      <c r="Z714" s="12"/>
      <c r="AA714" s="12"/>
      <c r="AT714" s="12"/>
      <c r="AU714" s="12"/>
      <c r="BH714" s="12"/>
      <c r="BI714" s="12"/>
    </row>
    <row r="715">
      <c r="Z715" s="12"/>
      <c r="AA715" s="12"/>
      <c r="AT715" s="12"/>
      <c r="AU715" s="12"/>
      <c r="BH715" s="12"/>
      <c r="BI715" s="12"/>
    </row>
    <row r="716">
      <c r="Z716" s="12"/>
      <c r="AA716" s="12"/>
      <c r="AT716" s="12"/>
      <c r="AU716" s="12"/>
      <c r="BH716" s="12"/>
      <c r="BI716" s="12"/>
    </row>
    <row r="717">
      <c r="Z717" s="12"/>
      <c r="AA717" s="12"/>
      <c r="AT717" s="12"/>
      <c r="AU717" s="12"/>
      <c r="BH717" s="12"/>
      <c r="BI717" s="12"/>
    </row>
    <row r="718">
      <c r="Z718" s="12"/>
      <c r="AA718" s="12"/>
      <c r="AT718" s="12"/>
      <c r="AU718" s="12"/>
      <c r="BH718" s="12"/>
      <c r="BI718" s="12"/>
    </row>
    <row r="719">
      <c r="Z719" s="12"/>
      <c r="AA719" s="12"/>
      <c r="AT719" s="12"/>
      <c r="AU719" s="12"/>
      <c r="BH719" s="12"/>
      <c r="BI719" s="12"/>
    </row>
    <row r="720">
      <c r="Z720" s="12"/>
      <c r="AA720" s="12"/>
      <c r="AT720" s="12"/>
      <c r="AU720" s="12"/>
      <c r="BH720" s="12"/>
      <c r="BI720" s="12"/>
    </row>
    <row r="721">
      <c r="Z721" s="12"/>
      <c r="AA721" s="12"/>
      <c r="AT721" s="12"/>
      <c r="AU721" s="12"/>
      <c r="BH721" s="12"/>
      <c r="BI721" s="12"/>
    </row>
    <row r="722">
      <c r="Z722" s="12"/>
      <c r="AA722" s="12"/>
      <c r="AT722" s="12"/>
      <c r="AU722" s="12"/>
      <c r="BH722" s="12"/>
      <c r="BI722" s="12"/>
    </row>
    <row r="723">
      <c r="Z723" s="12"/>
      <c r="AA723" s="12"/>
      <c r="AT723" s="12"/>
      <c r="AU723" s="12"/>
      <c r="BH723" s="12"/>
      <c r="BI723" s="12"/>
    </row>
    <row r="724">
      <c r="Z724" s="12"/>
      <c r="AA724" s="12"/>
      <c r="AT724" s="12"/>
      <c r="AU724" s="12"/>
      <c r="BH724" s="12"/>
      <c r="BI724" s="12"/>
    </row>
    <row r="725">
      <c r="Z725" s="12"/>
      <c r="AA725" s="12"/>
      <c r="AT725" s="12"/>
      <c r="AU725" s="12"/>
      <c r="BH725" s="12"/>
      <c r="BI725" s="12"/>
    </row>
    <row r="726">
      <c r="Z726" s="12"/>
      <c r="AA726" s="12"/>
      <c r="AT726" s="12"/>
      <c r="AU726" s="12"/>
      <c r="BH726" s="12"/>
      <c r="BI726" s="12"/>
    </row>
    <row r="727">
      <c r="Z727" s="12"/>
      <c r="AA727" s="12"/>
      <c r="AT727" s="12"/>
      <c r="AU727" s="12"/>
      <c r="BH727" s="12"/>
      <c r="BI727" s="12"/>
    </row>
    <row r="728">
      <c r="Z728" s="12"/>
      <c r="AA728" s="12"/>
      <c r="AT728" s="12"/>
      <c r="AU728" s="12"/>
      <c r="BH728" s="12"/>
      <c r="BI728" s="12"/>
    </row>
    <row r="729">
      <c r="Z729" s="12"/>
      <c r="AA729" s="12"/>
      <c r="AT729" s="12"/>
      <c r="AU729" s="12"/>
      <c r="BH729" s="12"/>
      <c r="BI729" s="12"/>
    </row>
    <row r="730">
      <c r="Z730" s="12"/>
      <c r="AA730" s="12"/>
      <c r="AT730" s="12"/>
      <c r="AU730" s="12"/>
      <c r="BH730" s="12"/>
      <c r="BI730" s="12"/>
    </row>
    <row r="731">
      <c r="Z731" s="12"/>
      <c r="AA731" s="12"/>
      <c r="AT731" s="12"/>
      <c r="AU731" s="12"/>
      <c r="BH731" s="12"/>
      <c r="BI731" s="12"/>
    </row>
    <row r="732">
      <c r="Z732" s="12"/>
      <c r="AA732" s="12"/>
      <c r="AT732" s="12"/>
      <c r="AU732" s="12"/>
      <c r="BH732" s="12"/>
      <c r="BI732" s="12"/>
    </row>
    <row r="733">
      <c r="Z733" s="12"/>
      <c r="AA733" s="12"/>
      <c r="AT733" s="12"/>
      <c r="AU733" s="12"/>
      <c r="BH733" s="12"/>
      <c r="BI733" s="12"/>
    </row>
    <row r="734">
      <c r="Z734" s="12"/>
      <c r="AA734" s="12"/>
      <c r="AT734" s="12"/>
      <c r="AU734" s="12"/>
      <c r="BH734" s="12"/>
      <c r="BI734" s="12"/>
    </row>
    <row r="735">
      <c r="Z735" s="12"/>
      <c r="AA735" s="12"/>
      <c r="AT735" s="12"/>
      <c r="AU735" s="12"/>
      <c r="BH735" s="12"/>
      <c r="BI735" s="12"/>
    </row>
    <row r="736">
      <c r="Z736" s="12"/>
      <c r="AA736" s="12"/>
      <c r="AT736" s="12"/>
      <c r="AU736" s="12"/>
      <c r="BH736" s="12"/>
      <c r="BI736" s="12"/>
    </row>
    <row r="737">
      <c r="Z737" s="12"/>
      <c r="AA737" s="12"/>
      <c r="AT737" s="12"/>
      <c r="AU737" s="12"/>
      <c r="BH737" s="12"/>
      <c r="BI737" s="12"/>
    </row>
    <row r="738">
      <c r="Z738" s="12"/>
      <c r="AA738" s="12"/>
      <c r="AT738" s="12"/>
      <c r="AU738" s="12"/>
      <c r="BH738" s="12"/>
      <c r="BI738" s="12"/>
    </row>
    <row r="739">
      <c r="Z739" s="12"/>
      <c r="AA739" s="12"/>
      <c r="AT739" s="12"/>
      <c r="AU739" s="12"/>
      <c r="BH739" s="12"/>
      <c r="BI739" s="12"/>
    </row>
    <row r="740">
      <c r="Z740" s="12"/>
      <c r="AA740" s="12"/>
      <c r="AT740" s="12"/>
      <c r="AU740" s="12"/>
      <c r="BH740" s="12"/>
      <c r="BI740" s="12"/>
    </row>
    <row r="741">
      <c r="Z741" s="12"/>
      <c r="AA741" s="12"/>
      <c r="AT741" s="12"/>
      <c r="AU741" s="12"/>
      <c r="BH741" s="12"/>
      <c r="BI741" s="12"/>
    </row>
    <row r="742">
      <c r="Z742" s="12"/>
      <c r="AA742" s="12"/>
      <c r="AT742" s="12"/>
      <c r="AU742" s="12"/>
      <c r="BH742" s="12"/>
      <c r="BI742" s="12"/>
    </row>
    <row r="743">
      <c r="Z743" s="12"/>
      <c r="AA743" s="12"/>
      <c r="AT743" s="12"/>
      <c r="AU743" s="12"/>
      <c r="BH743" s="12"/>
      <c r="BI743" s="12"/>
    </row>
    <row r="744">
      <c r="Z744" s="12"/>
      <c r="AA744" s="12"/>
      <c r="AT744" s="12"/>
      <c r="AU744" s="12"/>
      <c r="BH744" s="12"/>
      <c r="BI744" s="12"/>
    </row>
    <row r="745">
      <c r="Z745" s="12"/>
      <c r="AA745" s="12"/>
      <c r="AT745" s="12"/>
      <c r="AU745" s="12"/>
      <c r="BH745" s="12"/>
      <c r="BI745" s="12"/>
    </row>
    <row r="746">
      <c r="Z746" s="12"/>
      <c r="AA746" s="12"/>
      <c r="AT746" s="12"/>
      <c r="AU746" s="12"/>
      <c r="BH746" s="12"/>
      <c r="BI746" s="12"/>
    </row>
    <row r="747">
      <c r="Z747" s="12"/>
      <c r="AA747" s="12"/>
      <c r="AT747" s="12"/>
      <c r="AU747" s="12"/>
      <c r="BH747" s="12"/>
      <c r="BI747" s="12"/>
    </row>
    <row r="748">
      <c r="Z748" s="12"/>
      <c r="AA748" s="12"/>
      <c r="AT748" s="12"/>
      <c r="AU748" s="12"/>
      <c r="BH748" s="12"/>
      <c r="BI748" s="12"/>
    </row>
    <row r="749">
      <c r="Z749" s="12"/>
      <c r="AA749" s="12"/>
      <c r="AT749" s="12"/>
      <c r="AU749" s="12"/>
      <c r="BH749" s="12"/>
      <c r="BI749" s="12"/>
    </row>
    <row r="750">
      <c r="Z750" s="12"/>
      <c r="AA750" s="12"/>
      <c r="AT750" s="12"/>
      <c r="AU750" s="12"/>
      <c r="BH750" s="12"/>
      <c r="BI750" s="12"/>
    </row>
    <row r="751">
      <c r="Z751" s="12"/>
      <c r="AA751" s="12"/>
      <c r="AT751" s="12"/>
      <c r="AU751" s="12"/>
      <c r="BH751" s="12"/>
      <c r="BI751" s="12"/>
    </row>
    <row r="752">
      <c r="Z752" s="12"/>
      <c r="AA752" s="12"/>
      <c r="AT752" s="12"/>
      <c r="AU752" s="12"/>
      <c r="BH752" s="12"/>
      <c r="BI752" s="12"/>
    </row>
    <row r="753">
      <c r="Z753" s="12"/>
      <c r="AA753" s="12"/>
      <c r="AT753" s="12"/>
      <c r="AU753" s="12"/>
      <c r="BH753" s="12"/>
      <c r="BI753" s="12"/>
    </row>
    <row r="754">
      <c r="Z754" s="12"/>
      <c r="AA754" s="12"/>
      <c r="AT754" s="12"/>
      <c r="AU754" s="12"/>
      <c r="BH754" s="12"/>
      <c r="BI754" s="12"/>
    </row>
    <row r="755">
      <c r="Z755" s="12"/>
      <c r="AA755" s="12"/>
      <c r="AT755" s="12"/>
      <c r="AU755" s="12"/>
      <c r="BH755" s="12"/>
      <c r="BI755" s="12"/>
    </row>
    <row r="756">
      <c r="Z756" s="12"/>
      <c r="AA756" s="12"/>
      <c r="AT756" s="12"/>
      <c r="AU756" s="12"/>
      <c r="BH756" s="12"/>
      <c r="BI756" s="12"/>
    </row>
    <row r="757">
      <c r="Z757" s="12"/>
      <c r="AA757" s="12"/>
      <c r="AT757" s="12"/>
      <c r="AU757" s="12"/>
      <c r="BH757" s="12"/>
      <c r="BI757" s="12"/>
    </row>
    <row r="758">
      <c r="Z758" s="12"/>
      <c r="AA758" s="12"/>
      <c r="AT758" s="12"/>
      <c r="AU758" s="12"/>
      <c r="BH758" s="12"/>
      <c r="BI758" s="12"/>
    </row>
    <row r="759">
      <c r="Z759" s="12"/>
      <c r="AA759" s="12"/>
      <c r="AT759" s="12"/>
      <c r="AU759" s="12"/>
      <c r="BH759" s="12"/>
      <c r="BI759" s="12"/>
    </row>
    <row r="760">
      <c r="Z760" s="12"/>
      <c r="AA760" s="12"/>
      <c r="AT760" s="12"/>
      <c r="AU760" s="12"/>
      <c r="BH760" s="12"/>
      <c r="BI760" s="12"/>
    </row>
    <row r="761">
      <c r="Z761" s="12"/>
      <c r="AA761" s="12"/>
      <c r="AT761" s="12"/>
      <c r="AU761" s="12"/>
      <c r="BH761" s="12"/>
      <c r="BI761" s="12"/>
    </row>
    <row r="762">
      <c r="Z762" s="12"/>
      <c r="AA762" s="12"/>
      <c r="AT762" s="12"/>
      <c r="AU762" s="12"/>
      <c r="BH762" s="12"/>
      <c r="BI762" s="12"/>
    </row>
    <row r="763">
      <c r="Z763" s="12"/>
      <c r="AA763" s="12"/>
      <c r="AT763" s="12"/>
      <c r="AU763" s="12"/>
      <c r="BH763" s="12"/>
      <c r="BI763" s="12"/>
    </row>
    <row r="764">
      <c r="Z764" s="12"/>
      <c r="AA764" s="12"/>
      <c r="AT764" s="12"/>
      <c r="AU764" s="12"/>
      <c r="BH764" s="12"/>
      <c r="BI764" s="12"/>
    </row>
    <row r="765">
      <c r="Z765" s="12"/>
      <c r="AA765" s="12"/>
      <c r="AT765" s="12"/>
      <c r="AU765" s="12"/>
      <c r="BH765" s="12"/>
      <c r="BI765" s="12"/>
    </row>
    <row r="766">
      <c r="Z766" s="12"/>
      <c r="AA766" s="12"/>
      <c r="AT766" s="12"/>
      <c r="AU766" s="12"/>
      <c r="BH766" s="12"/>
      <c r="BI766" s="12"/>
    </row>
    <row r="767">
      <c r="Z767" s="12"/>
      <c r="AA767" s="12"/>
      <c r="AT767" s="12"/>
      <c r="AU767" s="12"/>
      <c r="BH767" s="12"/>
      <c r="BI767" s="12"/>
    </row>
    <row r="768">
      <c r="Z768" s="12"/>
      <c r="AA768" s="12"/>
      <c r="AT768" s="12"/>
      <c r="AU768" s="12"/>
      <c r="BH768" s="12"/>
      <c r="BI768" s="12"/>
    </row>
    <row r="769">
      <c r="Z769" s="12"/>
      <c r="AA769" s="12"/>
      <c r="AT769" s="12"/>
      <c r="AU769" s="12"/>
      <c r="BH769" s="12"/>
      <c r="BI769" s="12"/>
    </row>
    <row r="770">
      <c r="Z770" s="12"/>
      <c r="AA770" s="12"/>
      <c r="AT770" s="12"/>
      <c r="AU770" s="12"/>
      <c r="BH770" s="12"/>
      <c r="BI770" s="12"/>
    </row>
    <row r="771">
      <c r="Z771" s="12"/>
      <c r="AA771" s="12"/>
      <c r="AT771" s="12"/>
      <c r="AU771" s="12"/>
      <c r="BH771" s="12"/>
      <c r="BI771" s="12"/>
    </row>
    <row r="772">
      <c r="Z772" s="12"/>
      <c r="AA772" s="12"/>
      <c r="AT772" s="12"/>
      <c r="AU772" s="12"/>
      <c r="BH772" s="12"/>
      <c r="BI772" s="12"/>
    </row>
    <row r="773">
      <c r="Z773" s="12"/>
      <c r="AA773" s="12"/>
      <c r="AT773" s="12"/>
      <c r="AU773" s="12"/>
      <c r="BH773" s="12"/>
      <c r="BI773" s="12"/>
    </row>
    <row r="774">
      <c r="Z774" s="12"/>
      <c r="AA774" s="12"/>
      <c r="AT774" s="12"/>
      <c r="AU774" s="12"/>
      <c r="BH774" s="12"/>
      <c r="BI774" s="12"/>
    </row>
    <row r="775">
      <c r="Z775" s="12"/>
      <c r="AA775" s="12"/>
      <c r="AT775" s="12"/>
      <c r="AU775" s="12"/>
      <c r="BH775" s="12"/>
      <c r="BI775" s="12"/>
    </row>
    <row r="776">
      <c r="Z776" s="12"/>
      <c r="AA776" s="12"/>
      <c r="AT776" s="12"/>
      <c r="AU776" s="12"/>
      <c r="BH776" s="12"/>
      <c r="BI776" s="12"/>
    </row>
    <row r="777">
      <c r="Z777" s="12"/>
      <c r="AA777" s="12"/>
      <c r="AT777" s="12"/>
      <c r="AU777" s="12"/>
      <c r="BH777" s="12"/>
      <c r="BI777" s="12"/>
    </row>
    <row r="778">
      <c r="Z778" s="12"/>
      <c r="AA778" s="12"/>
      <c r="AT778" s="12"/>
      <c r="AU778" s="12"/>
      <c r="BH778" s="12"/>
      <c r="BI778" s="12"/>
    </row>
    <row r="779">
      <c r="Z779" s="12"/>
      <c r="AA779" s="12"/>
      <c r="AT779" s="12"/>
      <c r="AU779" s="12"/>
      <c r="BH779" s="12"/>
      <c r="BI779" s="12"/>
    </row>
    <row r="780">
      <c r="Z780" s="12"/>
      <c r="AA780" s="12"/>
      <c r="AT780" s="12"/>
      <c r="AU780" s="12"/>
      <c r="BH780" s="12"/>
      <c r="BI780" s="12"/>
    </row>
    <row r="781">
      <c r="Z781" s="12"/>
      <c r="AA781" s="12"/>
      <c r="AT781" s="12"/>
      <c r="AU781" s="12"/>
      <c r="BH781" s="12"/>
      <c r="BI781" s="12"/>
    </row>
    <row r="782">
      <c r="Z782" s="12"/>
      <c r="AA782" s="12"/>
      <c r="AT782" s="12"/>
      <c r="AU782" s="12"/>
      <c r="BH782" s="12"/>
      <c r="BI782" s="12"/>
    </row>
    <row r="783">
      <c r="Z783" s="12"/>
      <c r="AA783" s="12"/>
      <c r="AT783" s="12"/>
      <c r="AU783" s="12"/>
      <c r="BH783" s="12"/>
      <c r="BI783" s="12"/>
    </row>
    <row r="784">
      <c r="Z784" s="12"/>
      <c r="AA784" s="12"/>
      <c r="AT784" s="12"/>
      <c r="AU784" s="12"/>
      <c r="BH784" s="12"/>
      <c r="BI784" s="12"/>
    </row>
    <row r="785">
      <c r="Z785" s="12"/>
      <c r="AA785" s="12"/>
      <c r="AT785" s="12"/>
      <c r="AU785" s="12"/>
      <c r="BH785" s="12"/>
      <c r="BI785" s="12"/>
    </row>
    <row r="786">
      <c r="Z786" s="12"/>
      <c r="AA786" s="12"/>
      <c r="AT786" s="12"/>
      <c r="AU786" s="12"/>
      <c r="BH786" s="12"/>
      <c r="BI786" s="12"/>
    </row>
    <row r="787">
      <c r="Z787" s="12"/>
      <c r="AA787" s="12"/>
      <c r="AT787" s="12"/>
      <c r="AU787" s="12"/>
      <c r="BH787" s="12"/>
      <c r="BI787" s="12"/>
    </row>
    <row r="788">
      <c r="Z788" s="12"/>
      <c r="AA788" s="12"/>
      <c r="AT788" s="12"/>
      <c r="AU788" s="12"/>
      <c r="BH788" s="12"/>
      <c r="BI788" s="12"/>
    </row>
    <row r="789">
      <c r="Z789" s="12"/>
      <c r="AA789" s="12"/>
      <c r="AT789" s="12"/>
      <c r="AU789" s="12"/>
      <c r="BH789" s="12"/>
      <c r="BI789" s="12"/>
    </row>
    <row r="790">
      <c r="Z790" s="12"/>
      <c r="AA790" s="12"/>
      <c r="AT790" s="12"/>
      <c r="AU790" s="12"/>
      <c r="BH790" s="12"/>
      <c r="BI790" s="12"/>
    </row>
    <row r="791">
      <c r="Z791" s="12"/>
      <c r="AA791" s="12"/>
      <c r="AT791" s="12"/>
      <c r="AU791" s="12"/>
      <c r="BH791" s="12"/>
      <c r="BI791" s="12"/>
    </row>
    <row r="792">
      <c r="Z792" s="12"/>
      <c r="AA792" s="12"/>
      <c r="AT792" s="12"/>
      <c r="AU792" s="12"/>
      <c r="BH792" s="12"/>
      <c r="BI792" s="12"/>
    </row>
    <row r="793">
      <c r="Z793" s="12"/>
      <c r="AA793" s="12"/>
      <c r="AT793" s="12"/>
      <c r="AU793" s="12"/>
      <c r="BH793" s="12"/>
      <c r="BI793" s="12"/>
    </row>
    <row r="794">
      <c r="Z794" s="12"/>
      <c r="AA794" s="12"/>
      <c r="AT794" s="12"/>
      <c r="AU794" s="12"/>
      <c r="BH794" s="12"/>
      <c r="BI794" s="12"/>
    </row>
    <row r="795">
      <c r="Z795" s="12"/>
      <c r="AA795" s="12"/>
      <c r="AT795" s="12"/>
      <c r="AU795" s="12"/>
      <c r="BH795" s="12"/>
      <c r="BI795" s="12"/>
    </row>
    <row r="796">
      <c r="Z796" s="12"/>
      <c r="AA796" s="12"/>
      <c r="AT796" s="12"/>
      <c r="AU796" s="12"/>
      <c r="BH796" s="12"/>
      <c r="BI796" s="12"/>
    </row>
    <row r="797">
      <c r="Z797" s="12"/>
      <c r="AA797" s="12"/>
      <c r="AT797" s="12"/>
      <c r="AU797" s="12"/>
      <c r="BH797" s="12"/>
      <c r="BI797" s="12"/>
    </row>
    <row r="798">
      <c r="Z798" s="12"/>
      <c r="AA798" s="12"/>
      <c r="AT798" s="12"/>
      <c r="AU798" s="12"/>
      <c r="BH798" s="12"/>
      <c r="BI798" s="12"/>
    </row>
    <row r="799">
      <c r="Z799" s="12"/>
      <c r="AA799" s="12"/>
      <c r="AT799" s="12"/>
      <c r="AU799" s="12"/>
      <c r="BH799" s="12"/>
      <c r="BI799" s="12"/>
    </row>
    <row r="800">
      <c r="Z800" s="12"/>
      <c r="AA800" s="12"/>
      <c r="AT800" s="12"/>
      <c r="AU800" s="12"/>
      <c r="BH800" s="12"/>
      <c r="BI800" s="12"/>
    </row>
    <row r="801">
      <c r="Z801" s="12"/>
      <c r="AA801" s="12"/>
      <c r="AT801" s="12"/>
      <c r="AU801" s="12"/>
      <c r="BH801" s="12"/>
      <c r="BI801" s="12"/>
    </row>
    <row r="802">
      <c r="Z802" s="12"/>
      <c r="AA802" s="12"/>
      <c r="AT802" s="12"/>
      <c r="AU802" s="12"/>
      <c r="BH802" s="12"/>
      <c r="BI802" s="12"/>
    </row>
    <row r="803">
      <c r="Z803" s="12"/>
      <c r="AA803" s="12"/>
      <c r="AT803" s="12"/>
      <c r="AU803" s="12"/>
      <c r="BH803" s="12"/>
      <c r="BI803" s="12"/>
    </row>
    <row r="804">
      <c r="Z804" s="12"/>
      <c r="AA804" s="12"/>
      <c r="AT804" s="12"/>
      <c r="AU804" s="12"/>
      <c r="BH804" s="12"/>
      <c r="BI804" s="12"/>
    </row>
    <row r="805">
      <c r="Z805" s="12"/>
      <c r="AA805" s="12"/>
      <c r="AT805" s="12"/>
      <c r="AU805" s="12"/>
      <c r="BH805" s="12"/>
      <c r="BI805" s="12"/>
    </row>
    <row r="806">
      <c r="Z806" s="12"/>
      <c r="AA806" s="12"/>
      <c r="AT806" s="12"/>
      <c r="AU806" s="12"/>
      <c r="BH806" s="12"/>
      <c r="BI806" s="12"/>
    </row>
    <row r="807">
      <c r="Z807" s="12"/>
      <c r="AA807" s="12"/>
      <c r="AT807" s="12"/>
      <c r="AU807" s="12"/>
      <c r="BH807" s="12"/>
      <c r="BI807" s="12"/>
    </row>
    <row r="808">
      <c r="Z808" s="12"/>
      <c r="AA808" s="12"/>
      <c r="AT808" s="12"/>
      <c r="AU808" s="12"/>
      <c r="BH808" s="12"/>
      <c r="BI808" s="12"/>
    </row>
    <row r="809">
      <c r="Z809" s="12"/>
      <c r="AA809" s="12"/>
      <c r="AT809" s="12"/>
      <c r="AU809" s="12"/>
      <c r="BH809" s="12"/>
      <c r="BI809" s="12"/>
    </row>
    <row r="810">
      <c r="Z810" s="12"/>
      <c r="AA810" s="12"/>
      <c r="AT810" s="12"/>
      <c r="AU810" s="12"/>
      <c r="BH810" s="12"/>
      <c r="BI810" s="12"/>
    </row>
    <row r="811">
      <c r="Z811" s="12"/>
      <c r="AA811" s="12"/>
      <c r="AT811" s="12"/>
      <c r="AU811" s="12"/>
      <c r="BH811" s="12"/>
      <c r="BI811" s="12"/>
    </row>
    <row r="812">
      <c r="Z812" s="12"/>
      <c r="AA812" s="12"/>
      <c r="AT812" s="12"/>
      <c r="AU812" s="12"/>
      <c r="BH812" s="12"/>
      <c r="BI812" s="12"/>
    </row>
    <row r="813">
      <c r="Z813" s="12"/>
      <c r="AA813" s="12"/>
      <c r="AT813" s="12"/>
      <c r="AU813" s="12"/>
      <c r="BH813" s="12"/>
      <c r="BI813" s="12"/>
    </row>
    <row r="814">
      <c r="Z814" s="12"/>
      <c r="AA814" s="12"/>
      <c r="AT814" s="12"/>
      <c r="AU814" s="12"/>
      <c r="BH814" s="12"/>
      <c r="BI814" s="12"/>
    </row>
    <row r="815">
      <c r="Z815" s="12"/>
      <c r="AA815" s="12"/>
      <c r="AT815" s="12"/>
      <c r="AU815" s="12"/>
      <c r="BH815" s="12"/>
      <c r="BI815" s="12"/>
    </row>
    <row r="816">
      <c r="Z816" s="12"/>
      <c r="AA816" s="12"/>
      <c r="AT816" s="12"/>
      <c r="AU816" s="12"/>
      <c r="BH816" s="12"/>
      <c r="BI816" s="12"/>
    </row>
    <row r="817">
      <c r="Z817" s="12"/>
      <c r="AA817" s="12"/>
      <c r="AT817" s="12"/>
      <c r="AU817" s="12"/>
      <c r="BH817" s="12"/>
      <c r="BI817" s="12"/>
    </row>
    <row r="818">
      <c r="Z818" s="12"/>
      <c r="AA818" s="12"/>
      <c r="AT818" s="12"/>
      <c r="AU818" s="12"/>
      <c r="BH818" s="12"/>
      <c r="BI818" s="12"/>
    </row>
    <row r="819">
      <c r="Z819" s="12"/>
      <c r="AA819" s="12"/>
      <c r="AT819" s="12"/>
      <c r="AU819" s="12"/>
      <c r="BH819" s="12"/>
      <c r="BI819" s="12"/>
    </row>
    <row r="820">
      <c r="Z820" s="12"/>
      <c r="AA820" s="12"/>
      <c r="AT820" s="12"/>
      <c r="AU820" s="12"/>
      <c r="BH820" s="12"/>
      <c r="BI820" s="12"/>
    </row>
    <row r="821">
      <c r="Z821" s="12"/>
      <c r="AA821" s="12"/>
      <c r="AT821" s="12"/>
      <c r="AU821" s="12"/>
      <c r="BH821" s="12"/>
      <c r="BI821" s="12"/>
    </row>
    <row r="822">
      <c r="Z822" s="12"/>
      <c r="AA822" s="12"/>
      <c r="AT822" s="12"/>
      <c r="AU822" s="12"/>
      <c r="BH822" s="12"/>
      <c r="BI822" s="12"/>
    </row>
    <row r="823">
      <c r="Z823" s="12"/>
      <c r="AA823" s="12"/>
      <c r="AT823" s="12"/>
      <c r="AU823" s="12"/>
      <c r="BH823" s="12"/>
      <c r="BI823" s="12"/>
    </row>
    <row r="824">
      <c r="Z824" s="12"/>
      <c r="AA824" s="12"/>
      <c r="AT824" s="12"/>
      <c r="AU824" s="12"/>
      <c r="BH824" s="12"/>
      <c r="BI824" s="12"/>
    </row>
    <row r="825">
      <c r="Z825" s="12"/>
      <c r="AA825" s="12"/>
      <c r="AT825" s="12"/>
      <c r="AU825" s="12"/>
      <c r="BH825" s="12"/>
      <c r="BI825" s="12"/>
    </row>
    <row r="826">
      <c r="Z826" s="12"/>
      <c r="AA826" s="12"/>
      <c r="AT826" s="12"/>
      <c r="AU826" s="12"/>
      <c r="BH826" s="12"/>
      <c r="BI826" s="12"/>
    </row>
    <row r="827">
      <c r="Z827" s="12"/>
      <c r="AA827" s="12"/>
      <c r="AT827" s="12"/>
      <c r="AU827" s="12"/>
      <c r="BH827" s="12"/>
      <c r="BI827" s="12"/>
    </row>
    <row r="828">
      <c r="Z828" s="12"/>
      <c r="AA828" s="12"/>
      <c r="AT828" s="12"/>
      <c r="AU828" s="12"/>
      <c r="BH828" s="12"/>
      <c r="BI828" s="12"/>
    </row>
    <row r="829">
      <c r="Z829" s="12"/>
      <c r="AA829" s="12"/>
      <c r="AT829" s="12"/>
      <c r="AU829" s="12"/>
      <c r="BH829" s="12"/>
      <c r="BI829" s="12"/>
    </row>
    <row r="830">
      <c r="Z830" s="12"/>
      <c r="AA830" s="12"/>
      <c r="AT830" s="12"/>
      <c r="AU830" s="12"/>
      <c r="BH830" s="12"/>
      <c r="BI830" s="12"/>
    </row>
    <row r="831">
      <c r="Z831" s="12"/>
      <c r="AA831" s="12"/>
      <c r="AT831" s="12"/>
      <c r="AU831" s="12"/>
      <c r="BH831" s="12"/>
      <c r="BI831" s="12"/>
    </row>
    <row r="832">
      <c r="Z832" s="12"/>
      <c r="AA832" s="12"/>
      <c r="AT832" s="12"/>
      <c r="AU832" s="12"/>
      <c r="BH832" s="12"/>
      <c r="BI832" s="12"/>
    </row>
    <row r="833">
      <c r="Z833" s="12"/>
      <c r="AA833" s="12"/>
      <c r="AT833" s="12"/>
      <c r="AU833" s="12"/>
      <c r="BH833" s="12"/>
      <c r="BI833" s="12"/>
    </row>
    <row r="834">
      <c r="Z834" s="12"/>
      <c r="AA834" s="12"/>
      <c r="AT834" s="12"/>
      <c r="AU834" s="12"/>
      <c r="BH834" s="12"/>
      <c r="BI834" s="12"/>
    </row>
    <row r="835">
      <c r="Z835" s="12"/>
      <c r="AA835" s="12"/>
      <c r="AT835" s="12"/>
      <c r="AU835" s="12"/>
      <c r="BH835" s="12"/>
      <c r="BI835" s="12"/>
    </row>
    <row r="836">
      <c r="Z836" s="12"/>
      <c r="AA836" s="12"/>
      <c r="AT836" s="12"/>
      <c r="AU836" s="12"/>
      <c r="BH836" s="12"/>
      <c r="BI836" s="12"/>
    </row>
    <row r="837">
      <c r="Z837" s="12"/>
      <c r="AA837" s="12"/>
      <c r="AT837" s="12"/>
      <c r="AU837" s="12"/>
      <c r="BH837" s="12"/>
      <c r="BI837" s="12"/>
    </row>
    <row r="838">
      <c r="Z838" s="12"/>
      <c r="AA838" s="12"/>
      <c r="AT838" s="12"/>
      <c r="AU838" s="12"/>
      <c r="BH838" s="12"/>
      <c r="BI838" s="12"/>
    </row>
    <row r="839">
      <c r="Z839" s="12"/>
      <c r="AA839" s="12"/>
      <c r="AT839" s="12"/>
      <c r="AU839" s="12"/>
      <c r="BH839" s="12"/>
      <c r="BI839" s="12"/>
    </row>
    <row r="840">
      <c r="Z840" s="12"/>
      <c r="AA840" s="12"/>
      <c r="AT840" s="12"/>
      <c r="AU840" s="12"/>
      <c r="BH840" s="12"/>
      <c r="BI840" s="12"/>
    </row>
    <row r="841">
      <c r="Z841" s="12"/>
      <c r="AA841" s="12"/>
      <c r="AT841" s="12"/>
      <c r="AU841" s="12"/>
      <c r="BH841" s="12"/>
      <c r="BI841" s="12"/>
    </row>
    <row r="842">
      <c r="Z842" s="12"/>
      <c r="AA842" s="12"/>
      <c r="AT842" s="12"/>
      <c r="AU842" s="12"/>
      <c r="BH842" s="12"/>
      <c r="BI842" s="12"/>
    </row>
    <row r="843">
      <c r="Z843" s="12"/>
      <c r="AA843" s="12"/>
      <c r="AT843" s="12"/>
      <c r="AU843" s="12"/>
      <c r="BH843" s="12"/>
      <c r="BI843" s="12"/>
    </row>
    <row r="844">
      <c r="Z844" s="12"/>
      <c r="AA844" s="12"/>
      <c r="AT844" s="12"/>
      <c r="AU844" s="12"/>
      <c r="BH844" s="12"/>
      <c r="BI844" s="12"/>
    </row>
    <row r="845">
      <c r="Z845" s="12"/>
      <c r="AA845" s="12"/>
      <c r="AT845" s="12"/>
      <c r="AU845" s="12"/>
      <c r="BH845" s="12"/>
      <c r="BI845" s="12"/>
    </row>
    <row r="846">
      <c r="Z846" s="12"/>
      <c r="AA846" s="12"/>
      <c r="AT846" s="12"/>
      <c r="AU846" s="12"/>
      <c r="BH846" s="12"/>
      <c r="BI846" s="12"/>
    </row>
    <row r="847">
      <c r="Z847" s="12"/>
      <c r="AA847" s="12"/>
      <c r="AT847" s="12"/>
      <c r="AU847" s="12"/>
      <c r="BH847" s="12"/>
      <c r="BI847" s="12"/>
    </row>
    <row r="848">
      <c r="Z848" s="12"/>
      <c r="AA848" s="12"/>
      <c r="AT848" s="12"/>
      <c r="AU848" s="12"/>
      <c r="BH848" s="12"/>
      <c r="BI848" s="12"/>
    </row>
    <row r="849">
      <c r="Z849" s="12"/>
      <c r="AA849" s="12"/>
      <c r="AT849" s="12"/>
      <c r="AU849" s="12"/>
      <c r="BH849" s="12"/>
      <c r="BI849" s="12"/>
    </row>
    <row r="850">
      <c r="Z850" s="12"/>
      <c r="AA850" s="12"/>
      <c r="AT850" s="12"/>
      <c r="AU850" s="12"/>
      <c r="BH850" s="12"/>
      <c r="BI850" s="12"/>
    </row>
    <row r="851">
      <c r="Z851" s="12"/>
      <c r="AA851" s="12"/>
      <c r="AT851" s="12"/>
      <c r="AU851" s="12"/>
      <c r="BH851" s="12"/>
      <c r="BI851" s="12"/>
    </row>
    <row r="852">
      <c r="Z852" s="12"/>
      <c r="AA852" s="12"/>
      <c r="AT852" s="12"/>
      <c r="AU852" s="12"/>
      <c r="BH852" s="12"/>
      <c r="BI852" s="12"/>
    </row>
    <row r="853">
      <c r="Z853" s="12"/>
      <c r="AA853" s="12"/>
      <c r="AT853" s="12"/>
      <c r="AU853" s="12"/>
      <c r="BH853" s="12"/>
      <c r="BI853" s="12"/>
    </row>
    <row r="854">
      <c r="Z854" s="12"/>
      <c r="AA854" s="12"/>
      <c r="AT854" s="12"/>
      <c r="AU854" s="12"/>
      <c r="BH854" s="12"/>
      <c r="BI854" s="12"/>
    </row>
    <row r="855">
      <c r="Z855" s="12"/>
      <c r="AA855" s="12"/>
      <c r="AT855" s="12"/>
      <c r="AU855" s="12"/>
      <c r="BH855" s="12"/>
      <c r="BI855" s="12"/>
    </row>
    <row r="856">
      <c r="Z856" s="12"/>
      <c r="AA856" s="12"/>
      <c r="AT856" s="12"/>
      <c r="AU856" s="12"/>
      <c r="BH856" s="12"/>
      <c r="BI856" s="12"/>
    </row>
    <row r="857">
      <c r="Z857" s="12"/>
      <c r="AA857" s="12"/>
      <c r="AT857" s="12"/>
      <c r="AU857" s="12"/>
      <c r="BH857" s="12"/>
      <c r="BI857" s="12"/>
    </row>
    <row r="858">
      <c r="Z858" s="12"/>
      <c r="AA858" s="12"/>
      <c r="AT858" s="12"/>
      <c r="AU858" s="12"/>
      <c r="BH858" s="12"/>
      <c r="BI858" s="12"/>
    </row>
    <row r="859">
      <c r="Z859" s="12"/>
      <c r="AA859" s="12"/>
      <c r="AT859" s="12"/>
      <c r="AU859" s="12"/>
      <c r="BH859" s="12"/>
      <c r="BI859" s="12"/>
    </row>
    <row r="860">
      <c r="Z860" s="12"/>
      <c r="AA860" s="12"/>
      <c r="AT860" s="12"/>
      <c r="AU860" s="12"/>
      <c r="BH860" s="12"/>
      <c r="BI860" s="12"/>
    </row>
    <row r="861">
      <c r="Z861" s="12"/>
      <c r="AA861" s="12"/>
      <c r="AT861" s="12"/>
      <c r="AU861" s="12"/>
      <c r="BH861" s="12"/>
      <c r="BI861" s="12"/>
    </row>
    <row r="862">
      <c r="Z862" s="12"/>
      <c r="AA862" s="12"/>
      <c r="AT862" s="12"/>
      <c r="AU862" s="12"/>
      <c r="BH862" s="12"/>
      <c r="BI862" s="12"/>
    </row>
    <row r="863">
      <c r="Z863" s="12"/>
      <c r="AA863" s="12"/>
      <c r="AT863" s="12"/>
      <c r="AU863" s="12"/>
      <c r="BH863" s="12"/>
      <c r="BI863" s="12"/>
    </row>
    <row r="864">
      <c r="Z864" s="12"/>
      <c r="AA864" s="12"/>
      <c r="AT864" s="12"/>
      <c r="AU864" s="12"/>
      <c r="BH864" s="12"/>
      <c r="BI864" s="12"/>
    </row>
    <row r="865">
      <c r="Z865" s="12"/>
      <c r="AA865" s="12"/>
      <c r="AT865" s="12"/>
      <c r="AU865" s="12"/>
      <c r="BH865" s="12"/>
      <c r="BI865" s="12"/>
    </row>
    <row r="866">
      <c r="Z866" s="12"/>
      <c r="AA866" s="12"/>
      <c r="AT866" s="12"/>
      <c r="AU866" s="12"/>
      <c r="BH866" s="12"/>
      <c r="BI866" s="12"/>
    </row>
    <row r="867">
      <c r="Z867" s="12"/>
      <c r="AA867" s="12"/>
      <c r="AT867" s="12"/>
      <c r="AU867" s="12"/>
      <c r="BH867" s="12"/>
      <c r="BI867" s="12"/>
    </row>
    <row r="868">
      <c r="Z868" s="12"/>
      <c r="AA868" s="12"/>
      <c r="AT868" s="12"/>
      <c r="AU868" s="12"/>
      <c r="BH868" s="12"/>
      <c r="BI868" s="12"/>
    </row>
    <row r="869">
      <c r="Z869" s="12"/>
      <c r="AA869" s="12"/>
      <c r="AT869" s="12"/>
      <c r="AU869" s="12"/>
      <c r="BH869" s="12"/>
      <c r="BI869" s="12"/>
    </row>
    <row r="870">
      <c r="Z870" s="12"/>
      <c r="AA870" s="12"/>
      <c r="AT870" s="12"/>
      <c r="AU870" s="12"/>
      <c r="BH870" s="12"/>
      <c r="BI870" s="12"/>
    </row>
    <row r="871">
      <c r="Z871" s="12"/>
      <c r="AA871" s="12"/>
      <c r="AT871" s="12"/>
      <c r="AU871" s="12"/>
      <c r="BH871" s="12"/>
      <c r="BI871" s="12"/>
    </row>
    <row r="872">
      <c r="Z872" s="12"/>
      <c r="AA872" s="12"/>
      <c r="AT872" s="12"/>
      <c r="AU872" s="12"/>
      <c r="BH872" s="12"/>
      <c r="BI872" s="12"/>
    </row>
    <row r="873">
      <c r="Z873" s="12"/>
      <c r="AA873" s="12"/>
      <c r="AT873" s="12"/>
      <c r="AU873" s="12"/>
      <c r="BH873" s="12"/>
      <c r="BI873" s="12"/>
    </row>
    <row r="874">
      <c r="Z874" s="12"/>
      <c r="AA874" s="12"/>
      <c r="AT874" s="12"/>
      <c r="AU874" s="12"/>
      <c r="BH874" s="12"/>
      <c r="BI874" s="12"/>
    </row>
    <row r="875">
      <c r="Z875" s="12"/>
      <c r="AA875" s="12"/>
      <c r="AT875" s="12"/>
      <c r="AU875" s="12"/>
      <c r="BH875" s="12"/>
      <c r="BI875" s="12"/>
    </row>
    <row r="876">
      <c r="Z876" s="12"/>
      <c r="AA876" s="12"/>
      <c r="AT876" s="12"/>
      <c r="AU876" s="12"/>
      <c r="BH876" s="12"/>
      <c r="BI876" s="12"/>
    </row>
    <row r="877">
      <c r="Z877" s="12"/>
      <c r="AA877" s="12"/>
      <c r="AT877" s="12"/>
      <c r="AU877" s="12"/>
      <c r="BH877" s="12"/>
      <c r="BI877" s="12"/>
    </row>
    <row r="878">
      <c r="Z878" s="12"/>
      <c r="AA878" s="12"/>
      <c r="AT878" s="12"/>
      <c r="AU878" s="12"/>
      <c r="BH878" s="12"/>
      <c r="BI878" s="12"/>
    </row>
    <row r="879">
      <c r="Z879" s="12"/>
      <c r="AA879" s="12"/>
      <c r="AT879" s="12"/>
      <c r="AU879" s="12"/>
      <c r="BH879" s="12"/>
      <c r="BI879" s="12"/>
    </row>
    <row r="880">
      <c r="Z880" s="12"/>
      <c r="AA880" s="12"/>
      <c r="AT880" s="12"/>
      <c r="AU880" s="12"/>
      <c r="BH880" s="12"/>
      <c r="BI880" s="12"/>
    </row>
    <row r="881">
      <c r="Z881" s="12"/>
      <c r="AA881" s="12"/>
      <c r="AT881" s="12"/>
      <c r="AU881" s="12"/>
      <c r="BH881" s="12"/>
      <c r="BI881" s="12"/>
    </row>
    <row r="882">
      <c r="Z882" s="12"/>
      <c r="AA882" s="12"/>
      <c r="AT882" s="12"/>
      <c r="AU882" s="12"/>
      <c r="BH882" s="12"/>
      <c r="BI882" s="12"/>
    </row>
    <row r="883">
      <c r="Z883" s="12"/>
      <c r="AA883" s="12"/>
      <c r="AT883" s="12"/>
      <c r="AU883" s="12"/>
      <c r="BH883" s="12"/>
      <c r="BI883" s="12"/>
    </row>
    <row r="884">
      <c r="Z884" s="12"/>
      <c r="AA884" s="12"/>
      <c r="AT884" s="12"/>
      <c r="AU884" s="12"/>
      <c r="BH884" s="12"/>
      <c r="BI884" s="12"/>
    </row>
    <row r="885">
      <c r="Z885" s="12"/>
      <c r="AA885" s="12"/>
      <c r="AT885" s="12"/>
      <c r="AU885" s="12"/>
      <c r="BH885" s="12"/>
      <c r="BI885" s="12"/>
    </row>
    <row r="886">
      <c r="Z886" s="12"/>
      <c r="AA886" s="12"/>
      <c r="AT886" s="12"/>
      <c r="AU886" s="12"/>
      <c r="BH886" s="12"/>
      <c r="BI886" s="12"/>
    </row>
    <row r="887">
      <c r="Z887" s="12"/>
      <c r="AA887" s="12"/>
      <c r="AT887" s="12"/>
      <c r="AU887" s="12"/>
      <c r="BH887" s="12"/>
      <c r="BI887" s="12"/>
    </row>
    <row r="888">
      <c r="Z888" s="12"/>
      <c r="AA888" s="12"/>
      <c r="AT888" s="12"/>
      <c r="AU888" s="12"/>
      <c r="BH888" s="12"/>
      <c r="BI888" s="12"/>
    </row>
    <row r="889">
      <c r="Z889" s="12"/>
      <c r="AA889" s="12"/>
      <c r="AT889" s="12"/>
      <c r="AU889" s="12"/>
      <c r="BH889" s="12"/>
      <c r="BI889" s="12"/>
    </row>
    <row r="890">
      <c r="Z890" s="12"/>
      <c r="AA890" s="12"/>
      <c r="AT890" s="12"/>
      <c r="AU890" s="12"/>
      <c r="BH890" s="12"/>
      <c r="BI890" s="12"/>
    </row>
    <row r="891">
      <c r="Z891" s="12"/>
      <c r="AA891" s="12"/>
      <c r="AT891" s="12"/>
      <c r="AU891" s="12"/>
      <c r="BH891" s="12"/>
      <c r="BI891" s="12"/>
    </row>
    <row r="892">
      <c r="Z892" s="12"/>
      <c r="AA892" s="12"/>
      <c r="AT892" s="12"/>
      <c r="AU892" s="12"/>
      <c r="BH892" s="12"/>
      <c r="BI892" s="12"/>
    </row>
    <row r="893">
      <c r="Z893" s="12"/>
      <c r="AA893" s="12"/>
      <c r="AT893" s="12"/>
      <c r="AU893" s="12"/>
      <c r="BH893" s="12"/>
      <c r="BI893" s="12"/>
    </row>
    <row r="894">
      <c r="Z894" s="12"/>
      <c r="AA894" s="12"/>
      <c r="AT894" s="12"/>
      <c r="AU894" s="12"/>
      <c r="BH894" s="12"/>
      <c r="BI894" s="12"/>
    </row>
    <row r="895">
      <c r="Z895" s="12"/>
      <c r="AA895" s="12"/>
      <c r="AT895" s="12"/>
      <c r="AU895" s="12"/>
      <c r="BH895" s="12"/>
      <c r="BI895" s="12"/>
    </row>
    <row r="896">
      <c r="Z896" s="12"/>
      <c r="AA896" s="12"/>
      <c r="AT896" s="12"/>
      <c r="AU896" s="12"/>
      <c r="BH896" s="12"/>
      <c r="BI896" s="12"/>
    </row>
    <row r="897">
      <c r="Z897" s="12"/>
      <c r="AA897" s="12"/>
      <c r="AT897" s="12"/>
      <c r="AU897" s="12"/>
      <c r="BH897" s="12"/>
      <c r="BI897" s="12"/>
    </row>
    <row r="898">
      <c r="Z898" s="12"/>
      <c r="AA898" s="12"/>
      <c r="AT898" s="12"/>
      <c r="AU898" s="12"/>
      <c r="BH898" s="12"/>
      <c r="BI898" s="12"/>
    </row>
    <row r="899">
      <c r="Z899" s="12"/>
      <c r="AA899" s="12"/>
      <c r="AT899" s="12"/>
      <c r="AU899" s="12"/>
      <c r="BH899" s="12"/>
      <c r="BI899" s="12"/>
    </row>
    <row r="900">
      <c r="Z900" s="12"/>
      <c r="AA900" s="12"/>
      <c r="AT900" s="12"/>
      <c r="AU900" s="12"/>
      <c r="BH900" s="12"/>
      <c r="BI900" s="12"/>
    </row>
    <row r="901">
      <c r="Z901" s="12"/>
      <c r="AA901" s="12"/>
      <c r="AT901" s="12"/>
      <c r="AU901" s="12"/>
      <c r="BH901" s="12"/>
      <c r="BI901" s="12"/>
    </row>
    <row r="902">
      <c r="Z902" s="12"/>
      <c r="AA902" s="12"/>
      <c r="AT902" s="12"/>
      <c r="AU902" s="12"/>
      <c r="BH902" s="12"/>
      <c r="BI902" s="12"/>
    </row>
    <row r="903">
      <c r="Z903" s="12"/>
      <c r="AA903" s="12"/>
      <c r="AT903" s="12"/>
      <c r="AU903" s="12"/>
      <c r="BH903" s="12"/>
      <c r="BI903" s="12"/>
    </row>
    <row r="904">
      <c r="Z904" s="12"/>
      <c r="AA904" s="12"/>
      <c r="AT904" s="12"/>
      <c r="AU904" s="12"/>
      <c r="BH904" s="12"/>
      <c r="BI904" s="12"/>
    </row>
    <row r="905">
      <c r="Z905" s="12"/>
      <c r="AA905" s="12"/>
      <c r="AT905" s="12"/>
      <c r="AU905" s="12"/>
      <c r="BH905" s="12"/>
      <c r="BI905" s="12"/>
    </row>
    <row r="906">
      <c r="Z906" s="12"/>
      <c r="AA906" s="12"/>
      <c r="AT906" s="12"/>
      <c r="AU906" s="12"/>
      <c r="BH906" s="12"/>
      <c r="BI906" s="12"/>
    </row>
    <row r="907">
      <c r="Z907" s="12"/>
      <c r="AA907" s="12"/>
      <c r="AT907" s="12"/>
      <c r="AU907" s="12"/>
      <c r="BH907" s="12"/>
      <c r="BI907" s="12"/>
    </row>
    <row r="908">
      <c r="Z908" s="12"/>
      <c r="AA908" s="12"/>
      <c r="AT908" s="12"/>
      <c r="AU908" s="12"/>
      <c r="BH908" s="12"/>
      <c r="BI908" s="12"/>
    </row>
    <row r="909">
      <c r="Z909" s="12"/>
      <c r="AA909" s="12"/>
      <c r="AT909" s="12"/>
      <c r="AU909" s="12"/>
      <c r="BH909" s="12"/>
      <c r="BI909" s="12"/>
    </row>
    <row r="910">
      <c r="Z910" s="12"/>
      <c r="AA910" s="12"/>
      <c r="AT910" s="12"/>
      <c r="AU910" s="12"/>
      <c r="BH910" s="12"/>
      <c r="BI910" s="12"/>
    </row>
    <row r="911">
      <c r="Z911" s="12"/>
      <c r="AA911" s="12"/>
      <c r="AT911" s="12"/>
      <c r="AU911" s="12"/>
      <c r="BH911" s="12"/>
      <c r="BI911" s="12"/>
    </row>
    <row r="912">
      <c r="Z912" s="12"/>
      <c r="AA912" s="12"/>
      <c r="AT912" s="12"/>
      <c r="AU912" s="12"/>
      <c r="BH912" s="12"/>
      <c r="BI912" s="12"/>
    </row>
    <row r="913">
      <c r="Z913" s="12"/>
      <c r="AA913" s="12"/>
      <c r="AT913" s="12"/>
      <c r="AU913" s="12"/>
      <c r="BH913" s="12"/>
      <c r="BI913" s="12"/>
    </row>
    <row r="914">
      <c r="Z914" s="12"/>
      <c r="AA914" s="12"/>
      <c r="AT914" s="12"/>
      <c r="AU914" s="12"/>
      <c r="BH914" s="12"/>
      <c r="BI914" s="12"/>
    </row>
    <row r="915">
      <c r="Z915" s="12"/>
      <c r="AA915" s="12"/>
      <c r="AT915" s="12"/>
      <c r="AU915" s="12"/>
      <c r="BH915" s="12"/>
      <c r="BI915" s="12"/>
    </row>
    <row r="916">
      <c r="Z916" s="12"/>
      <c r="AA916" s="12"/>
      <c r="AT916" s="12"/>
      <c r="AU916" s="12"/>
      <c r="BH916" s="12"/>
      <c r="BI916" s="12"/>
    </row>
    <row r="917">
      <c r="Z917" s="12"/>
      <c r="AA917" s="12"/>
      <c r="AT917" s="12"/>
      <c r="AU917" s="12"/>
      <c r="BH917" s="12"/>
      <c r="BI917" s="12"/>
    </row>
    <row r="918">
      <c r="Z918" s="12"/>
      <c r="AA918" s="12"/>
      <c r="AT918" s="12"/>
      <c r="AU918" s="12"/>
      <c r="BH918" s="12"/>
      <c r="BI918" s="12"/>
    </row>
    <row r="919">
      <c r="Z919" s="12"/>
      <c r="AA919" s="12"/>
      <c r="AT919" s="12"/>
      <c r="AU919" s="12"/>
      <c r="BH919" s="12"/>
      <c r="BI919" s="12"/>
    </row>
    <row r="920">
      <c r="Z920" s="12"/>
      <c r="AA920" s="12"/>
      <c r="AT920" s="12"/>
      <c r="AU920" s="12"/>
      <c r="BH920" s="12"/>
      <c r="BI920" s="12"/>
    </row>
    <row r="921">
      <c r="Z921" s="12"/>
      <c r="AA921" s="12"/>
      <c r="AT921" s="12"/>
      <c r="AU921" s="12"/>
      <c r="BH921" s="12"/>
      <c r="BI921" s="12"/>
    </row>
    <row r="922">
      <c r="Z922" s="12"/>
      <c r="AA922" s="12"/>
      <c r="AT922" s="12"/>
      <c r="AU922" s="12"/>
      <c r="BH922" s="12"/>
      <c r="BI922" s="12"/>
    </row>
    <row r="923">
      <c r="Z923" s="12"/>
      <c r="AA923" s="12"/>
      <c r="AT923" s="12"/>
      <c r="AU923" s="12"/>
      <c r="BH923" s="12"/>
      <c r="BI923" s="12"/>
    </row>
    <row r="924">
      <c r="Z924" s="12"/>
      <c r="AA924" s="12"/>
      <c r="AT924" s="12"/>
      <c r="AU924" s="12"/>
      <c r="BH924" s="12"/>
      <c r="BI924" s="12"/>
    </row>
    <row r="925">
      <c r="Z925" s="12"/>
      <c r="AA925" s="12"/>
      <c r="AT925" s="12"/>
      <c r="AU925" s="12"/>
      <c r="BH925" s="12"/>
      <c r="BI925" s="12"/>
    </row>
    <row r="926">
      <c r="Z926" s="12"/>
      <c r="AA926" s="12"/>
      <c r="AT926" s="12"/>
      <c r="AU926" s="12"/>
      <c r="BH926" s="12"/>
      <c r="BI926" s="12"/>
    </row>
    <row r="927">
      <c r="Z927" s="12"/>
      <c r="AA927" s="12"/>
      <c r="AT927" s="12"/>
      <c r="AU927" s="12"/>
      <c r="BH927" s="12"/>
      <c r="BI927" s="12"/>
    </row>
    <row r="928">
      <c r="Z928" s="12"/>
      <c r="AA928" s="12"/>
      <c r="AT928" s="12"/>
      <c r="AU928" s="12"/>
      <c r="BH928" s="12"/>
      <c r="BI928" s="12"/>
    </row>
    <row r="929">
      <c r="Z929" s="12"/>
      <c r="AA929" s="12"/>
      <c r="AT929" s="12"/>
      <c r="AU929" s="12"/>
      <c r="BH929" s="12"/>
      <c r="BI929" s="12"/>
    </row>
    <row r="930">
      <c r="Z930" s="12"/>
      <c r="AA930" s="12"/>
      <c r="AT930" s="12"/>
      <c r="AU930" s="12"/>
      <c r="BH930" s="12"/>
      <c r="BI930" s="12"/>
    </row>
    <row r="931">
      <c r="Z931" s="12"/>
      <c r="AA931" s="12"/>
      <c r="AT931" s="12"/>
      <c r="AU931" s="12"/>
      <c r="BH931" s="12"/>
      <c r="BI931" s="12"/>
    </row>
    <row r="932">
      <c r="Z932" s="12"/>
      <c r="AA932" s="12"/>
      <c r="AT932" s="12"/>
      <c r="AU932" s="12"/>
      <c r="BH932" s="12"/>
      <c r="BI932" s="12"/>
    </row>
    <row r="933">
      <c r="Z933" s="12"/>
      <c r="AA933" s="12"/>
      <c r="AT933" s="12"/>
      <c r="AU933" s="12"/>
      <c r="BH933" s="12"/>
      <c r="BI933" s="12"/>
    </row>
    <row r="934">
      <c r="Z934" s="12"/>
      <c r="AA934" s="12"/>
      <c r="AT934" s="12"/>
      <c r="AU934" s="12"/>
      <c r="BH934" s="12"/>
      <c r="BI934" s="12"/>
    </row>
    <row r="935">
      <c r="Z935" s="12"/>
      <c r="AA935" s="12"/>
      <c r="AT935" s="12"/>
      <c r="AU935" s="12"/>
      <c r="BH935" s="12"/>
      <c r="BI935" s="12"/>
    </row>
    <row r="936">
      <c r="Z936" s="12"/>
      <c r="AA936" s="12"/>
      <c r="AT936" s="12"/>
      <c r="AU936" s="12"/>
      <c r="BH936" s="12"/>
      <c r="BI936" s="12"/>
    </row>
    <row r="937">
      <c r="Z937" s="12"/>
      <c r="AA937" s="12"/>
      <c r="AT937" s="12"/>
      <c r="AU937" s="12"/>
      <c r="BH937" s="12"/>
      <c r="BI937" s="12"/>
    </row>
    <row r="938">
      <c r="Z938" s="12"/>
      <c r="AA938" s="12"/>
      <c r="AT938" s="12"/>
      <c r="AU938" s="12"/>
      <c r="BH938" s="12"/>
      <c r="BI938" s="12"/>
    </row>
    <row r="939">
      <c r="Z939" s="12"/>
      <c r="AA939" s="12"/>
      <c r="AT939" s="12"/>
      <c r="AU939" s="12"/>
      <c r="BH939" s="12"/>
      <c r="BI939" s="12"/>
    </row>
    <row r="940">
      <c r="Z940" s="12"/>
      <c r="AA940" s="12"/>
      <c r="AT940" s="12"/>
      <c r="AU940" s="12"/>
      <c r="BH940" s="12"/>
      <c r="BI940" s="12"/>
    </row>
    <row r="941">
      <c r="Z941" s="12"/>
      <c r="AA941" s="12"/>
      <c r="AT941" s="12"/>
      <c r="AU941" s="12"/>
      <c r="BH941" s="12"/>
      <c r="BI941" s="12"/>
    </row>
    <row r="942">
      <c r="Z942" s="12"/>
      <c r="AA942" s="12"/>
      <c r="AT942" s="12"/>
      <c r="AU942" s="12"/>
      <c r="BH942" s="12"/>
      <c r="BI942" s="12"/>
    </row>
    <row r="943">
      <c r="Z943" s="12"/>
      <c r="AA943" s="12"/>
      <c r="AT943" s="12"/>
      <c r="AU943" s="12"/>
      <c r="BH943" s="12"/>
      <c r="BI943" s="12"/>
    </row>
    <row r="944">
      <c r="Z944" s="12"/>
      <c r="AA944" s="12"/>
      <c r="AT944" s="12"/>
      <c r="AU944" s="12"/>
      <c r="BH944" s="12"/>
      <c r="BI944" s="12"/>
    </row>
    <row r="945">
      <c r="Z945" s="12"/>
      <c r="AA945" s="12"/>
      <c r="AT945" s="12"/>
      <c r="AU945" s="12"/>
      <c r="BH945" s="12"/>
      <c r="BI945" s="12"/>
    </row>
    <row r="946">
      <c r="Z946" s="12"/>
      <c r="AA946" s="12"/>
      <c r="AT946" s="12"/>
      <c r="AU946" s="12"/>
      <c r="BH946" s="12"/>
      <c r="BI946" s="12"/>
    </row>
    <row r="947">
      <c r="Z947" s="12"/>
      <c r="AA947" s="12"/>
      <c r="AT947" s="12"/>
      <c r="AU947" s="12"/>
      <c r="BH947" s="12"/>
      <c r="BI947" s="12"/>
    </row>
    <row r="948">
      <c r="Z948" s="12"/>
      <c r="AA948" s="12"/>
      <c r="AT948" s="12"/>
      <c r="AU948" s="12"/>
      <c r="BH948" s="12"/>
      <c r="BI948" s="12"/>
    </row>
    <row r="949">
      <c r="Z949" s="12"/>
      <c r="AA949" s="12"/>
      <c r="AT949" s="12"/>
      <c r="AU949" s="12"/>
      <c r="BH949" s="12"/>
      <c r="BI949" s="12"/>
    </row>
    <row r="950">
      <c r="Z950" s="12"/>
      <c r="AA950" s="12"/>
      <c r="AT950" s="12"/>
      <c r="AU950" s="12"/>
      <c r="BH950" s="12"/>
      <c r="BI950" s="12"/>
    </row>
    <row r="951">
      <c r="Z951" s="12"/>
      <c r="AA951" s="12"/>
      <c r="AT951" s="12"/>
      <c r="AU951" s="12"/>
      <c r="BH951" s="12"/>
      <c r="BI951" s="12"/>
    </row>
    <row r="952">
      <c r="Z952" s="12"/>
      <c r="AA952" s="12"/>
      <c r="AT952" s="12"/>
      <c r="AU952" s="12"/>
      <c r="BH952" s="12"/>
      <c r="BI952" s="12"/>
    </row>
    <row r="953">
      <c r="Z953" s="12"/>
      <c r="AA953" s="12"/>
      <c r="AT953" s="12"/>
      <c r="AU953" s="12"/>
      <c r="BH953" s="12"/>
      <c r="BI953" s="12"/>
    </row>
    <row r="954">
      <c r="Z954" s="12"/>
      <c r="AA954" s="12"/>
      <c r="AT954" s="12"/>
      <c r="AU954" s="12"/>
      <c r="BH954" s="12"/>
      <c r="BI954" s="12"/>
    </row>
    <row r="955">
      <c r="Z955" s="12"/>
      <c r="AA955" s="12"/>
      <c r="AT955" s="12"/>
      <c r="AU955" s="12"/>
      <c r="BH955" s="12"/>
      <c r="BI955" s="12"/>
    </row>
    <row r="956">
      <c r="Z956" s="12"/>
      <c r="AA956" s="12"/>
      <c r="AT956" s="12"/>
      <c r="AU956" s="12"/>
      <c r="BH956" s="12"/>
      <c r="BI956" s="12"/>
    </row>
    <row r="957">
      <c r="Z957" s="12"/>
      <c r="AA957" s="12"/>
      <c r="AT957" s="12"/>
      <c r="AU957" s="12"/>
      <c r="BH957" s="12"/>
      <c r="BI957" s="12"/>
    </row>
    <row r="958">
      <c r="Z958" s="12"/>
      <c r="AA958" s="12"/>
      <c r="AT958" s="12"/>
      <c r="AU958" s="12"/>
      <c r="BH958" s="12"/>
      <c r="BI958" s="12"/>
    </row>
    <row r="959">
      <c r="Z959" s="12"/>
      <c r="AA959" s="12"/>
      <c r="AT959" s="12"/>
      <c r="AU959" s="12"/>
      <c r="BH959" s="12"/>
      <c r="BI959" s="12"/>
    </row>
    <row r="960">
      <c r="Z960" s="12"/>
      <c r="AA960" s="12"/>
      <c r="AT960" s="12"/>
      <c r="AU960" s="12"/>
      <c r="BH960" s="12"/>
      <c r="BI960" s="12"/>
    </row>
    <row r="961">
      <c r="Z961" s="12"/>
      <c r="AA961" s="12"/>
      <c r="AT961" s="12"/>
      <c r="AU961" s="12"/>
      <c r="BH961" s="12"/>
      <c r="BI961" s="12"/>
    </row>
    <row r="962">
      <c r="Z962" s="12"/>
      <c r="AA962" s="12"/>
      <c r="AT962" s="12"/>
      <c r="AU962" s="12"/>
      <c r="BH962" s="12"/>
      <c r="BI962" s="12"/>
    </row>
    <row r="963">
      <c r="Z963" s="12"/>
      <c r="AA963" s="12"/>
      <c r="AT963" s="12"/>
      <c r="AU963" s="12"/>
      <c r="BH963" s="12"/>
      <c r="BI963" s="12"/>
    </row>
    <row r="964">
      <c r="Z964" s="12"/>
      <c r="AA964" s="12"/>
      <c r="AT964" s="12"/>
      <c r="AU964" s="12"/>
      <c r="BH964" s="12"/>
      <c r="BI964" s="12"/>
    </row>
    <row r="965">
      <c r="Z965" s="12"/>
      <c r="AA965" s="12"/>
      <c r="AT965" s="12"/>
      <c r="AU965" s="12"/>
      <c r="BH965" s="12"/>
      <c r="BI965" s="12"/>
    </row>
    <row r="966">
      <c r="Z966" s="12"/>
      <c r="AA966" s="12"/>
      <c r="AT966" s="12"/>
      <c r="AU966" s="12"/>
      <c r="BH966" s="12"/>
      <c r="BI966" s="12"/>
    </row>
    <row r="967">
      <c r="Z967" s="12"/>
      <c r="AA967" s="12"/>
      <c r="AT967" s="12"/>
      <c r="AU967" s="12"/>
      <c r="BH967" s="12"/>
      <c r="BI967" s="12"/>
    </row>
    <row r="968">
      <c r="Z968" s="12"/>
      <c r="AA968" s="12"/>
      <c r="AT968" s="12"/>
      <c r="AU968" s="12"/>
      <c r="BH968" s="12"/>
      <c r="BI968" s="12"/>
    </row>
    <row r="969">
      <c r="Z969" s="12"/>
      <c r="AA969" s="12"/>
      <c r="AT969" s="12"/>
      <c r="AU969" s="12"/>
      <c r="BH969" s="12"/>
      <c r="BI969" s="12"/>
    </row>
    <row r="970">
      <c r="Z970" s="12"/>
      <c r="AA970" s="12"/>
      <c r="AT970" s="12"/>
      <c r="AU970" s="12"/>
      <c r="BH970" s="12"/>
      <c r="BI970" s="12"/>
    </row>
    <row r="971">
      <c r="Z971" s="12"/>
      <c r="AA971" s="12"/>
      <c r="AT971" s="12"/>
      <c r="AU971" s="12"/>
      <c r="BH971" s="12"/>
      <c r="BI971" s="12"/>
    </row>
    <row r="972">
      <c r="Z972" s="12"/>
      <c r="AA972" s="12"/>
      <c r="AT972" s="12"/>
      <c r="AU972" s="12"/>
      <c r="BH972" s="12"/>
      <c r="BI972" s="12"/>
    </row>
    <row r="973">
      <c r="Z973" s="12"/>
      <c r="AA973" s="12"/>
      <c r="AT973" s="12"/>
      <c r="AU973" s="12"/>
      <c r="BH973" s="12"/>
      <c r="BI973" s="12"/>
    </row>
    <row r="974">
      <c r="Z974" s="12"/>
      <c r="AA974" s="12"/>
      <c r="AT974" s="12"/>
      <c r="AU974" s="12"/>
      <c r="BH974" s="12"/>
      <c r="BI974" s="12"/>
    </row>
    <row r="975">
      <c r="Z975" s="12"/>
      <c r="AA975" s="12"/>
      <c r="AT975" s="12"/>
      <c r="AU975" s="12"/>
      <c r="BH975" s="12"/>
      <c r="BI975" s="12"/>
    </row>
    <row r="976">
      <c r="Z976" s="12"/>
      <c r="AA976" s="12"/>
      <c r="AT976" s="12"/>
      <c r="AU976" s="12"/>
      <c r="BH976" s="12"/>
      <c r="BI976" s="12"/>
    </row>
    <row r="977">
      <c r="Z977" s="12"/>
      <c r="AA977" s="12"/>
      <c r="AT977" s="12"/>
      <c r="AU977" s="12"/>
      <c r="BH977" s="12"/>
      <c r="BI977" s="12"/>
    </row>
    <row r="978">
      <c r="Z978" s="12"/>
      <c r="AA978" s="12"/>
      <c r="AT978" s="12"/>
      <c r="AU978" s="12"/>
      <c r="BH978" s="12"/>
      <c r="BI978" s="12"/>
    </row>
    <row r="979">
      <c r="Z979" s="12"/>
      <c r="AA979" s="12"/>
      <c r="AT979" s="12"/>
      <c r="AU979" s="12"/>
      <c r="BH979" s="12"/>
      <c r="BI979" s="12"/>
    </row>
    <row r="980">
      <c r="Z980" s="12"/>
      <c r="AA980" s="12"/>
      <c r="AT980" s="12"/>
      <c r="AU980" s="12"/>
      <c r="BH980" s="12"/>
      <c r="BI980" s="12"/>
    </row>
    <row r="981">
      <c r="Z981" s="12"/>
      <c r="AA981" s="12"/>
      <c r="AT981" s="12"/>
      <c r="AU981" s="12"/>
      <c r="BH981" s="12"/>
      <c r="BI981" s="12"/>
    </row>
    <row r="982">
      <c r="Z982" s="12"/>
      <c r="AA982" s="12"/>
      <c r="AT982" s="12"/>
      <c r="AU982" s="12"/>
      <c r="BH982" s="12"/>
      <c r="BI982" s="12"/>
    </row>
    <row r="983">
      <c r="Z983" s="12"/>
      <c r="AA983" s="12"/>
      <c r="AT983" s="12"/>
      <c r="AU983" s="12"/>
      <c r="BH983" s="12"/>
      <c r="BI983" s="12"/>
    </row>
    <row r="984">
      <c r="Z984" s="12"/>
      <c r="AA984" s="12"/>
      <c r="AT984" s="12"/>
      <c r="AU984" s="12"/>
      <c r="BH984" s="12"/>
      <c r="BI984" s="12"/>
    </row>
    <row r="985">
      <c r="Z985" s="12"/>
      <c r="AA985" s="12"/>
      <c r="AT985" s="12"/>
      <c r="AU985" s="12"/>
      <c r="BH985" s="12"/>
      <c r="BI985" s="12"/>
    </row>
    <row r="986">
      <c r="Z986" s="12"/>
      <c r="AA986" s="12"/>
      <c r="AT986" s="12"/>
      <c r="AU986" s="12"/>
      <c r="BH986" s="12"/>
      <c r="BI986" s="12"/>
    </row>
    <row r="987">
      <c r="Z987" s="12"/>
      <c r="AA987" s="12"/>
      <c r="AT987" s="12"/>
      <c r="AU987" s="12"/>
      <c r="BH987" s="12"/>
      <c r="BI987" s="12"/>
    </row>
    <row r="988">
      <c r="Z988" s="12"/>
      <c r="AA988" s="12"/>
      <c r="AT988" s="12"/>
      <c r="AU988" s="12"/>
      <c r="BH988" s="12"/>
      <c r="BI988" s="12"/>
    </row>
    <row r="989">
      <c r="Z989" s="12"/>
      <c r="AA989" s="12"/>
      <c r="AT989" s="12"/>
      <c r="AU989" s="12"/>
      <c r="BH989" s="12"/>
      <c r="BI989" s="12"/>
    </row>
    <row r="990">
      <c r="Z990" s="12"/>
      <c r="AA990" s="12"/>
      <c r="AT990" s="12"/>
      <c r="AU990" s="12"/>
      <c r="BH990" s="12"/>
      <c r="BI990" s="12"/>
    </row>
    <row r="991">
      <c r="Z991" s="12"/>
      <c r="AA991" s="12"/>
      <c r="AT991" s="12"/>
      <c r="AU991" s="12"/>
      <c r="BH991" s="12"/>
      <c r="BI991" s="12"/>
    </row>
    <row r="992">
      <c r="Z992" s="12"/>
      <c r="AA992" s="12"/>
      <c r="AT992" s="12"/>
      <c r="AU992" s="12"/>
      <c r="BH992" s="12"/>
      <c r="BI992" s="12"/>
    </row>
    <row r="993">
      <c r="Z993" s="12"/>
      <c r="AA993" s="12"/>
      <c r="AT993" s="12"/>
      <c r="AU993" s="12"/>
      <c r="BH993" s="12"/>
      <c r="BI993" s="12"/>
    </row>
    <row r="994">
      <c r="Z994" s="12"/>
      <c r="AA994" s="12"/>
      <c r="AT994" s="12"/>
      <c r="AU994" s="12"/>
      <c r="BH994" s="12"/>
      <c r="BI994" s="12"/>
    </row>
    <row r="995">
      <c r="Z995" s="12"/>
      <c r="AA995" s="12"/>
      <c r="AT995" s="12"/>
      <c r="AU995" s="12"/>
      <c r="BH995" s="12"/>
      <c r="BI995" s="12"/>
    </row>
    <row r="996">
      <c r="Z996" s="12"/>
      <c r="AA996" s="12"/>
      <c r="AT996" s="12"/>
      <c r="AU996" s="12"/>
      <c r="BH996" s="12"/>
      <c r="BI996" s="12"/>
    </row>
    <row r="997">
      <c r="Z997" s="12"/>
      <c r="AA997" s="12"/>
      <c r="AT997" s="12"/>
      <c r="AU997" s="12"/>
      <c r="BH997" s="12"/>
      <c r="BI997" s="12"/>
    </row>
    <row r="998">
      <c r="Z998" s="12"/>
      <c r="AA998" s="12"/>
      <c r="AT998" s="12"/>
      <c r="AU998" s="12"/>
      <c r="BH998" s="12"/>
      <c r="BI998" s="12"/>
    </row>
    <row r="999">
      <c r="Z999" s="12"/>
      <c r="AA999" s="12"/>
      <c r="AT999" s="12"/>
      <c r="AU999" s="12"/>
      <c r="BH999" s="12"/>
      <c r="BI999" s="12"/>
    </row>
    <row r="1000">
      <c r="Z1000" s="12"/>
      <c r="AA1000" s="12"/>
      <c r="AT1000" s="12"/>
      <c r="AU1000" s="12"/>
      <c r="BH1000" s="12"/>
      <c r="BI1000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7</v>
      </c>
      <c r="K1" s="1" t="s">
        <v>8</v>
      </c>
      <c r="L1" s="1" t="s">
        <v>9</v>
      </c>
      <c r="M1" s="1" t="s">
        <v>10</v>
      </c>
      <c r="N1" s="1"/>
      <c r="O1" s="1"/>
      <c r="P1" s="1" t="s">
        <v>11</v>
      </c>
      <c r="Q1" s="1"/>
      <c r="R1" s="1"/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21</v>
      </c>
      <c r="AB1" s="2" t="s">
        <v>22</v>
      </c>
      <c r="AC1" s="2"/>
      <c r="AD1" s="2"/>
      <c r="AE1" s="2" t="s">
        <v>23</v>
      </c>
      <c r="AF1" s="2"/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42</v>
      </c>
      <c r="AY1" s="2" t="s">
        <v>44</v>
      </c>
      <c r="AZ1" s="2"/>
      <c r="BA1" s="2" t="s">
        <v>45</v>
      </c>
      <c r="BB1" s="2"/>
      <c r="BC1" s="1" t="s">
        <v>46</v>
      </c>
      <c r="BD1" s="1" t="s">
        <v>49</v>
      </c>
      <c r="BE1" s="1" t="s">
        <v>50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2" t="s">
        <v>61</v>
      </c>
      <c r="BP1" s="2"/>
      <c r="BQ1" s="2" t="s">
        <v>62</v>
      </c>
      <c r="BR1" s="2"/>
      <c r="BS1" s="1" t="s">
        <v>63</v>
      </c>
      <c r="BT1" s="1" t="s">
        <v>64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72</v>
      </c>
      <c r="CC1" s="1" t="s">
        <v>73</v>
      </c>
      <c r="CD1" s="1" t="s">
        <v>74</v>
      </c>
      <c r="CE1" s="1" t="s">
        <v>75</v>
      </c>
      <c r="CF1" s="1" t="s">
        <v>76</v>
      </c>
      <c r="CG1" s="1" t="s">
        <v>77</v>
      </c>
      <c r="CH1" s="1" t="s">
        <v>78</v>
      </c>
      <c r="CI1" s="1" t="s">
        <v>79</v>
      </c>
      <c r="CJ1" s="1" t="s">
        <v>80</v>
      </c>
      <c r="CK1" s="1" t="s">
        <v>81</v>
      </c>
      <c r="CL1" s="1" t="s">
        <v>82</v>
      </c>
      <c r="CM1" s="1" t="s">
        <v>83</v>
      </c>
      <c r="CN1" s="1" t="s">
        <v>84</v>
      </c>
      <c r="CO1" s="1" t="s">
        <v>85</v>
      </c>
      <c r="CP1" s="1" t="s">
        <v>86</v>
      </c>
      <c r="CQ1" s="1" t="s">
        <v>87</v>
      </c>
      <c r="CR1" s="1" t="s">
        <v>88</v>
      </c>
      <c r="CS1" s="1" t="s">
        <v>89</v>
      </c>
      <c r="CT1" s="1" t="s">
        <v>90</v>
      </c>
      <c r="CU1" s="1" t="s">
        <v>91</v>
      </c>
      <c r="CV1" s="1" t="s">
        <v>92</v>
      </c>
      <c r="CW1" s="1" t="s">
        <v>93</v>
      </c>
      <c r="CX1" s="1" t="s">
        <v>94</v>
      </c>
      <c r="CY1" s="1" t="s">
        <v>95</v>
      </c>
      <c r="CZ1" s="1" t="s">
        <v>96</v>
      </c>
      <c r="DA1" s="1" t="s">
        <v>97</v>
      </c>
      <c r="DB1" s="1" t="s">
        <v>98</v>
      </c>
      <c r="DC1" s="1" t="s">
        <v>99</v>
      </c>
      <c r="DD1" s="1" t="s">
        <v>100</v>
      </c>
      <c r="DE1" s="1" t="s">
        <v>101</v>
      </c>
      <c r="DF1" s="1" t="s">
        <v>102</v>
      </c>
      <c r="DG1" s="1" t="s">
        <v>103</v>
      </c>
      <c r="DH1" s="1" t="s">
        <v>104</v>
      </c>
      <c r="DI1" s="1" t="s">
        <v>105</v>
      </c>
      <c r="DJ1" s="1" t="s">
        <v>106</v>
      </c>
      <c r="DK1" s="1" t="s">
        <v>107</v>
      </c>
      <c r="DL1" s="1" t="s">
        <v>108</v>
      </c>
      <c r="DM1" s="1" t="s">
        <v>109</v>
      </c>
      <c r="DN1" s="1" t="s">
        <v>110</v>
      </c>
      <c r="DO1" s="1" t="s">
        <v>111</v>
      </c>
      <c r="DP1" s="1" t="s">
        <v>112</v>
      </c>
      <c r="DQ1" s="1" t="s">
        <v>113</v>
      </c>
      <c r="DR1" s="1" t="s">
        <v>114</v>
      </c>
      <c r="DS1" s="1" t="s">
        <v>115</v>
      </c>
      <c r="DT1" s="1" t="s">
        <v>116</v>
      </c>
    </row>
    <row r="2">
      <c r="A2" s="5" t="s">
        <v>118</v>
      </c>
      <c r="B2" s="6">
        <v>0.0</v>
      </c>
      <c r="C2" s="6">
        <v>10.0</v>
      </c>
      <c r="D2" s="6">
        <v>242.038662973093</v>
      </c>
      <c r="E2" s="8">
        <v>94.606275875545</v>
      </c>
      <c r="F2" s="3">
        <f t="shared" ref="F2:F6" si="1">D2/(0.5*DP2*DN2*(DO2^2))</f>
        <v>3.44605632</v>
      </c>
      <c r="G2" s="54">
        <f t="shared" ref="G2:G6" si="2">F2*S19</f>
        <v>3.510422978</v>
      </c>
      <c r="H2" s="8">
        <v>1.34696894160646</v>
      </c>
      <c r="I2" s="8">
        <f t="shared" ref="I2:I6" si="3">T19*H2</f>
        <v>1.386872315</v>
      </c>
      <c r="J2" s="8">
        <v>1.54215056262622</v>
      </c>
      <c r="K2" s="8">
        <v>0.604395494642568</v>
      </c>
      <c r="L2" s="8">
        <v>2.55837850854098</v>
      </c>
      <c r="M2" s="8">
        <v>62.9755327356903</v>
      </c>
      <c r="N2" s="8">
        <f t="shared" ref="N2:N6" si="4">(M2/100)*F2</f>
        <v>2.170172326</v>
      </c>
      <c r="O2" s="8">
        <f t="shared" ref="O2:O6" si="5">N2*U19</f>
        <v>2.045982333</v>
      </c>
      <c r="P2" s="8">
        <v>37.0244672643096</v>
      </c>
      <c r="Q2" s="8">
        <f t="shared" ref="Q2:Q6" si="6">F2*(P2/100)</f>
        <v>1.275883994</v>
      </c>
      <c r="R2" s="8">
        <f t="shared" ref="R2:R6" si="7">Q2*V19</f>
        <v>2.037017101</v>
      </c>
      <c r="S2" s="8">
        <v>3.43466658047813</v>
      </c>
      <c r="T2" s="9">
        <v>1.06684502925091E-6</v>
      </c>
      <c r="U2" s="8">
        <v>3.0072261181469E-4</v>
      </c>
      <c r="V2" s="8">
        <v>1.34651028200911</v>
      </c>
      <c r="W2" s="9">
        <v>2.24627124725198E-7</v>
      </c>
      <c r="X2" s="8">
        <v>3.51982786415586E-4</v>
      </c>
      <c r="Y2" s="8">
        <v>62.9707843210263</v>
      </c>
      <c r="Z2" s="9">
        <v>7.57005519064964E-5</v>
      </c>
      <c r="AA2" s="8">
        <v>1.381689382479E-4</v>
      </c>
      <c r="AB2" s="55">
        <v>86.7953401549734</v>
      </c>
      <c r="AC2" s="55">
        <f t="shared" ref="AC2:AC6" si="8">AB2/(0.5*1.16*1.09*C2^2)</f>
        <v>1.372909525</v>
      </c>
      <c r="AD2" s="55">
        <f t="shared" ref="AD2:AD6" si="9">AC2*U19</f>
        <v>1.294343587</v>
      </c>
      <c r="AE2" s="55">
        <v>18.7717702222853</v>
      </c>
      <c r="AF2" s="55">
        <f t="shared" ref="AF2:AF6" si="10">AE2*T19</f>
        <v>19.32787581</v>
      </c>
      <c r="AG2" s="8">
        <v>67.3905842949296</v>
      </c>
      <c r="AH2" s="8">
        <v>5.60439688271548</v>
      </c>
      <c r="AI2" s="8">
        <v>4.36625119782385</v>
      </c>
      <c r="AJ2" s="8">
        <v>2.05347160113754</v>
      </c>
      <c r="AK2" s="8">
        <v>2.2151148256704</v>
      </c>
      <c r="AL2" s="8">
        <v>2.39156056072531</v>
      </c>
      <c r="AM2" s="8">
        <v>2.54204137042429</v>
      </c>
      <c r="AN2" s="8">
        <v>2.03397367410668</v>
      </c>
      <c r="AO2" s="8">
        <v>2.03265092739756</v>
      </c>
      <c r="AP2" s="8">
        <v>3.67388479388959</v>
      </c>
      <c r="AQ2" s="8">
        <v>4.02663059885943</v>
      </c>
      <c r="AR2" s="8">
        <v>0.433707701789437</v>
      </c>
      <c r="AS2" s="8">
        <v>0.705183052047608</v>
      </c>
      <c r="AT2" s="8">
        <v>1.64487435520444</v>
      </c>
      <c r="AU2" s="8">
        <v>0.339558136639107</v>
      </c>
      <c r="AV2" s="8">
        <v>0.439341610008762</v>
      </c>
      <c r="AW2" s="8">
        <v>0.0</v>
      </c>
      <c r="AX2" s="8">
        <v>0.0</v>
      </c>
      <c r="AY2" s="55">
        <v>91.8213323914246</v>
      </c>
      <c r="AZ2" s="55">
        <f>(AY2*V19)/(0.5*1.16*1.09*C2^2)</f>
        <v>2.318849617</v>
      </c>
      <c r="BA2" s="55">
        <v>48.3627406774407</v>
      </c>
      <c r="BB2" s="55">
        <f t="shared" ref="BB2:BB6" si="11">(BA2*T19)/(0.5*1.16*1.09*C2^2)</f>
        <v>0.7876536855</v>
      </c>
      <c r="BC2" s="8">
        <v>68.7869354935313</v>
      </c>
      <c r="BD2" s="8">
        <v>20.9179344898558</v>
      </c>
      <c r="BE2" s="8">
        <v>1.43678617670273</v>
      </c>
      <c r="BF2" s="8">
        <v>0.0</v>
      </c>
      <c r="BG2" s="8">
        <v>0.0</v>
      </c>
      <c r="BH2" s="8">
        <v>12.2221779530213</v>
      </c>
      <c r="BI2" s="8">
        <v>26.5986564622888</v>
      </c>
      <c r="BJ2" s="8">
        <v>7.95799972620377</v>
      </c>
      <c r="BK2" s="8">
        <v>0.0</v>
      </c>
      <c r="BL2" s="8">
        <v>0.0</v>
      </c>
      <c r="BM2" s="8">
        <v>-0.757109945368028</v>
      </c>
      <c r="BN2" s="8">
        <v>1.58390653592671</v>
      </c>
      <c r="BO2" s="55">
        <v>63.878175259287</v>
      </c>
      <c r="BP2" s="55">
        <f t="shared" ref="BP2:BP6" si="12">(S19*BO2)/(0.5*1.16*1.09*C2^2)</f>
        <v>1.029283682</v>
      </c>
      <c r="BQ2" s="55">
        <v>8.89000167387644</v>
      </c>
      <c r="BR2" s="55">
        <f t="shared" ref="BR2:BR6" si="13">(T19*BQ2)/(0.5*1.16*1.09*C2^2)</f>
        <v>0.1447858927</v>
      </c>
      <c r="BS2" s="8">
        <v>0.0</v>
      </c>
      <c r="BT2" s="8">
        <v>0.0</v>
      </c>
      <c r="BU2" s="8">
        <v>0.0</v>
      </c>
      <c r="BV2" s="8">
        <v>0.0</v>
      </c>
      <c r="BW2" s="8">
        <v>0.0</v>
      </c>
      <c r="BX2" s="8">
        <v>0.0</v>
      </c>
      <c r="BY2" s="8">
        <v>0.0</v>
      </c>
      <c r="BZ2" s="8">
        <v>0.0</v>
      </c>
      <c r="CA2" s="8">
        <v>0.0</v>
      </c>
      <c r="CB2" s="8">
        <v>0.0</v>
      </c>
      <c r="CC2" s="8">
        <v>0.0</v>
      </c>
      <c r="CD2" s="8">
        <v>0.0</v>
      </c>
      <c r="CE2" s="8">
        <v>0.0</v>
      </c>
      <c r="CF2" s="8">
        <v>0.0</v>
      </c>
      <c r="CG2" s="8">
        <v>-0.0178945548061681</v>
      </c>
      <c r="CH2" s="8">
        <v>0.667777144421426</v>
      </c>
      <c r="CI2" s="8">
        <v>6.42297397106436</v>
      </c>
      <c r="CJ2" s="8">
        <v>11.4011417187832</v>
      </c>
      <c r="CK2" s="8">
        <v>0.0</v>
      </c>
      <c r="CL2" s="8">
        <v>0.0</v>
      </c>
      <c r="CM2" s="8">
        <v>0.0</v>
      </c>
      <c r="CN2" s="8">
        <v>-0.145825095548805</v>
      </c>
      <c r="CO2" s="8">
        <v>4.68552994954204</v>
      </c>
      <c r="CP2" s="8">
        <v>0.0</v>
      </c>
      <c r="CQ2" s="8">
        <v>0.0</v>
      </c>
      <c r="CR2" s="8">
        <v>0.0</v>
      </c>
      <c r="CS2" s="8">
        <v>0.0</v>
      </c>
      <c r="CT2" s="8">
        <v>0.0</v>
      </c>
      <c r="CU2" s="8">
        <v>0.0</v>
      </c>
      <c r="CV2" s="8">
        <v>0.970023457650598</v>
      </c>
      <c r="CW2" s="8">
        <v>1.47311117868522</v>
      </c>
      <c r="CX2" s="8">
        <v>0.970023457650598</v>
      </c>
      <c r="CY2" s="8">
        <v>2.71077770276295</v>
      </c>
      <c r="CZ2" s="8">
        <v>0.0</v>
      </c>
      <c r="DA2" s="8">
        <v>-0.819106202234804</v>
      </c>
      <c r="DB2" s="8">
        <v>-0.0518762985483628</v>
      </c>
      <c r="DC2" s="8">
        <v>0.106397758914405</v>
      </c>
      <c r="DD2" s="8">
        <v>0.0</v>
      </c>
      <c r="DE2" s="8">
        <v>0.0</v>
      </c>
      <c r="DF2" s="8">
        <v>0.0</v>
      </c>
      <c r="DG2" s="8">
        <v>94.606275875545</v>
      </c>
      <c r="DH2" s="8">
        <v>-242.038662973093</v>
      </c>
      <c r="DI2" s="8">
        <v>-234.4774356325</v>
      </c>
      <c r="DJ2" s="8">
        <v>45.3073420511598</v>
      </c>
      <c r="DK2" s="8">
        <v>0.968760249921583</v>
      </c>
      <c r="DL2" s="8">
        <v>0.478904191417088</v>
      </c>
      <c r="DM2" s="8">
        <v>3.4510080425977</v>
      </c>
      <c r="DN2" s="8">
        <v>1.11431087222369</v>
      </c>
      <c r="DO2" s="8">
        <v>10.41573536</v>
      </c>
      <c r="DP2" s="8">
        <v>1.162</v>
      </c>
      <c r="DQ2" s="8">
        <v>100.0</v>
      </c>
      <c r="DR2" s="8">
        <v>23.604</v>
      </c>
      <c r="DS2" s="8">
        <v>3.37176333333333</v>
      </c>
      <c r="DT2" s="8">
        <v>24.0840238095238</v>
      </c>
      <c r="DU2" s="5"/>
      <c r="DV2" s="5"/>
    </row>
    <row r="3">
      <c r="A3" s="5" t="s">
        <v>126</v>
      </c>
      <c r="B3" s="6">
        <v>0.0</v>
      </c>
      <c r="C3" s="6">
        <v>10.0</v>
      </c>
      <c r="D3" s="6">
        <v>242.033447672752</v>
      </c>
      <c r="E3" s="8">
        <v>94.6389428402354</v>
      </c>
      <c r="F3" s="3">
        <f t="shared" si="1"/>
        <v>3.445977127</v>
      </c>
      <c r="G3" s="54">
        <f t="shared" si="2"/>
        <v>3.628451314</v>
      </c>
      <c r="H3" s="8">
        <v>1.34743213895694</v>
      </c>
      <c r="I3" s="8">
        <f t="shared" si="3"/>
        <v>1.484981674</v>
      </c>
      <c r="J3" s="8">
        <v>1.5421151224107</v>
      </c>
      <c r="K3" s="8">
        <v>0.604602468107161</v>
      </c>
      <c r="L3" s="8">
        <v>2.55744031377591</v>
      </c>
      <c r="M3" s="8">
        <v>62.9840886001892</v>
      </c>
      <c r="N3" s="8">
        <f t="shared" si="4"/>
        <v>2.170417287</v>
      </c>
      <c r="O3" s="8">
        <f t="shared" si="5"/>
        <v>2.161725863</v>
      </c>
      <c r="P3" s="8">
        <v>37.0159113998107</v>
      </c>
      <c r="Q3" s="8">
        <f t="shared" si="6"/>
        <v>1.27555984</v>
      </c>
      <c r="R3" s="8">
        <f t="shared" si="7"/>
        <v>2.30498244</v>
      </c>
      <c r="S3" s="8">
        <v>3.43548907157131</v>
      </c>
      <c r="T3" s="9">
        <v>1.06966123268825E-6</v>
      </c>
      <c r="U3" s="8">
        <v>3.01047175353704E-4</v>
      </c>
      <c r="V3" s="8">
        <v>1.34682968297297</v>
      </c>
      <c r="W3" s="9">
        <v>4.50743385372117E-7</v>
      </c>
      <c r="X3" s="8">
        <v>4.98484893698877E-4</v>
      </c>
      <c r="Y3" s="8">
        <v>62.9851624869918</v>
      </c>
      <c r="Z3" s="9">
        <v>6.51639402702684E-5</v>
      </c>
      <c r="AA3" s="8">
        <v>1.28163811456503E-4</v>
      </c>
      <c r="AB3" s="55">
        <v>86.8432001563164</v>
      </c>
      <c r="AC3" s="55">
        <f t="shared" si="8"/>
        <v>1.373666564</v>
      </c>
      <c r="AD3" s="55">
        <f t="shared" si="9"/>
        <v>1.368165724</v>
      </c>
      <c r="AE3" s="55">
        <v>18.8057912950546</v>
      </c>
      <c r="AF3" s="55">
        <f t="shared" si="10"/>
        <v>20.72553759</v>
      </c>
      <c r="AG3" s="8">
        <v>67.4240279583334</v>
      </c>
      <c r="AH3" s="8">
        <v>5.60645648711705</v>
      </c>
      <c r="AI3" s="8">
        <v>4.36878462886958</v>
      </c>
      <c r="AJ3" s="8">
        <v>2.05485504370551</v>
      </c>
      <c r="AK3" s="8">
        <v>2.22171205653034</v>
      </c>
      <c r="AL3" s="8">
        <v>2.39184051535456</v>
      </c>
      <c r="AM3" s="8">
        <v>2.54306687132933</v>
      </c>
      <c r="AN3" s="8">
        <v>2.03524450391119</v>
      </c>
      <c r="AO3" s="8">
        <v>2.03384678561323</v>
      </c>
      <c r="AP3" s="8">
        <v>3.68871864901309</v>
      </c>
      <c r="AQ3" s="8">
        <v>4.03020530029961</v>
      </c>
      <c r="AR3" s="8">
        <v>0.431880950727357</v>
      </c>
      <c r="AS3" s="8">
        <v>0.705277730733539</v>
      </c>
      <c r="AT3" s="8">
        <v>1.64502326597074</v>
      </c>
      <c r="AU3" s="8">
        <v>0.339885813073836</v>
      </c>
      <c r="AV3" s="8">
        <v>0.439446241775584</v>
      </c>
      <c r="AW3" s="8">
        <v>0.0</v>
      </c>
      <c r="AX3" s="8">
        <v>0.0</v>
      </c>
      <c r="AY3" s="55">
        <v>91.8386418011833</v>
      </c>
      <c r="AZ3" s="55">
        <f>(AY3*S20)/(0.5*1.16*1.09*C3^2)</f>
        <v>1.529607029</v>
      </c>
      <c r="BA3" s="55">
        <v>48.4145919121899</v>
      </c>
      <c r="BB3" s="55">
        <f t="shared" si="11"/>
        <v>0.8439874257</v>
      </c>
      <c r="BC3" s="8">
        <v>68.7777557052528</v>
      </c>
      <c r="BD3" s="8">
        <v>20.9441650853712</v>
      </c>
      <c r="BE3" s="8">
        <v>1.43784921309147</v>
      </c>
      <c r="BF3" s="8">
        <v>0.0</v>
      </c>
      <c r="BG3" s="8">
        <v>0.0</v>
      </c>
      <c r="BH3" s="8">
        <v>12.2384722979963</v>
      </c>
      <c r="BI3" s="8">
        <v>26.6291042555743</v>
      </c>
      <c r="BJ3" s="8">
        <v>7.96299103398952</v>
      </c>
      <c r="BK3" s="8">
        <v>0.0</v>
      </c>
      <c r="BL3" s="8">
        <v>0.0</v>
      </c>
      <c r="BM3" s="8">
        <v>-0.758977415623715</v>
      </c>
      <c r="BN3" s="8">
        <v>1.58402432462978</v>
      </c>
      <c r="BO3" s="55">
        <v>63.7448623750711</v>
      </c>
      <c r="BP3" s="55">
        <f t="shared" si="12"/>
        <v>1.061694594</v>
      </c>
      <c r="BQ3" s="55">
        <v>8.89008276377519</v>
      </c>
      <c r="BR3" s="55">
        <f t="shared" si="13"/>
        <v>0.1549763774</v>
      </c>
      <c r="BS3" s="8">
        <v>0.0</v>
      </c>
      <c r="BT3" s="8">
        <v>0.0</v>
      </c>
      <c r="BU3" s="8">
        <v>0.0</v>
      </c>
      <c r="BV3" s="8">
        <v>0.0</v>
      </c>
      <c r="BW3" s="8">
        <v>0.0</v>
      </c>
      <c r="BX3" s="8">
        <v>0.0</v>
      </c>
      <c r="BY3" s="8">
        <v>0.0</v>
      </c>
      <c r="BZ3" s="8">
        <v>0.0</v>
      </c>
      <c r="CA3" s="8">
        <v>0.0</v>
      </c>
      <c r="CB3" s="8">
        <v>0.0</v>
      </c>
      <c r="CC3" s="8">
        <v>0.0</v>
      </c>
      <c r="CD3" s="8">
        <v>0.0</v>
      </c>
      <c r="CE3" s="8">
        <v>0.0</v>
      </c>
      <c r="CF3" s="8">
        <v>0.0</v>
      </c>
      <c r="CG3" s="8">
        <v>-0.0164605297925018</v>
      </c>
      <c r="CH3" s="8">
        <v>0.66746979511768</v>
      </c>
      <c r="CI3" s="8">
        <v>6.43584023261787</v>
      </c>
      <c r="CJ3" s="8">
        <v>11.3906550959862</v>
      </c>
      <c r="CK3" s="8">
        <v>0.0</v>
      </c>
      <c r="CL3" s="8">
        <v>0.0</v>
      </c>
      <c r="CM3" s="8">
        <v>0.0</v>
      </c>
      <c r="CN3" s="8">
        <v>-0.145635113364983</v>
      </c>
      <c r="CO3" s="8">
        <v>4.68369902711</v>
      </c>
      <c r="CP3" s="8">
        <v>0.0</v>
      </c>
      <c r="CQ3" s="8">
        <v>0.0</v>
      </c>
      <c r="CR3" s="8">
        <v>0.0</v>
      </c>
      <c r="CS3" s="8">
        <v>0.0</v>
      </c>
      <c r="CT3" s="8">
        <v>0.0</v>
      </c>
      <c r="CU3" s="8">
        <v>0.0</v>
      </c>
      <c r="CV3" s="8">
        <v>0.96583831328081</v>
      </c>
      <c r="CW3" s="8">
        <v>1.45822415284052</v>
      </c>
      <c r="CX3" s="8">
        <v>0.96583831328081</v>
      </c>
      <c r="CY3" s="8">
        <v>2.70974790198478</v>
      </c>
      <c r="CZ3" s="8">
        <v>0.0</v>
      </c>
      <c r="DA3" s="8">
        <v>-0.806345193372479</v>
      </c>
      <c r="DB3" s="8">
        <v>-0.0556294327936731</v>
      </c>
      <c r="DC3" s="8">
        <v>0.106220594465198</v>
      </c>
      <c r="DD3" s="8">
        <v>0.0</v>
      </c>
      <c r="DE3" s="8">
        <v>0.0</v>
      </c>
      <c r="DF3" s="8">
        <v>0.0</v>
      </c>
      <c r="DG3" s="8">
        <v>94.6389428402354</v>
      </c>
      <c r="DH3" s="8">
        <v>-242.033447672752</v>
      </c>
      <c r="DI3" s="8">
        <v>-234.43212102141</v>
      </c>
      <c r="DJ3" s="8">
        <v>45.347769780396</v>
      </c>
      <c r="DK3" s="8">
        <v>0.96859390003972</v>
      </c>
      <c r="DL3" s="8">
        <v>0.479166064407015</v>
      </c>
      <c r="DM3" s="8">
        <v>3.45100701123227</v>
      </c>
      <c r="DN3" s="8">
        <v>1.1143124697914</v>
      </c>
      <c r="DO3" s="8">
        <v>10.41573536</v>
      </c>
      <c r="DP3" s="8">
        <v>1.162</v>
      </c>
      <c r="DQ3" s="8">
        <v>100.0</v>
      </c>
      <c r="DR3" s="8">
        <v>21.995</v>
      </c>
      <c r="DS3" s="8">
        <v>3.16645666666666</v>
      </c>
      <c r="DT3" s="8">
        <v>22.1775175097276</v>
      </c>
      <c r="DU3" s="5"/>
      <c r="DV3" s="5"/>
    </row>
    <row r="4">
      <c r="A4" s="5" t="s">
        <v>128</v>
      </c>
      <c r="B4" s="6">
        <v>0.0</v>
      </c>
      <c r="C4" s="6">
        <v>13.0</v>
      </c>
      <c r="D4" s="6">
        <v>380.908909636113</v>
      </c>
      <c r="E4" s="8">
        <v>147.914246423217</v>
      </c>
      <c r="F4" s="3">
        <f t="shared" si="1"/>
        <v>3.476834339</v>
      </c>
      <c r="G4" s="54">
        <f t="shared" si="2"/>
        <v>3.293231593</v>
      </c>
      <c r="H4" s="8">
        <v>1.35012155549049</v>
      </c>
      <c r="I4" s="8">
        <f t="shared" si="3"/>
        <v>1.414449769</v>
      </c>
      <c r="J4" s="8">
        <v>1.55592419122671</v>
      </c>
      <c r="K4" s="8">
        <v>0.605809228601394</v>
      </c>
      <c r="L4" s="8">
        <v>2.57520096168588</v>
      </c>
      <c r="M4" s="8">
        <v>63.0412490761733</v>
      </c>
      <c r="N4" s="8">
        <f t="shared" si="4"/>
        <v>2.191839795</v>
      </c>
      <c r="O4" s="8">
        <f t="shared" si="5"/>
        <v>1.905229342</v>
      </c>
      <c r="P4" s="8">
        <v>36.9587509238266</v>
      </c>
      <c r="Q4" s="8">
        <f t="shared" si="6"/>
        <v>1.284994543</v>
      </c>
      <c r="R4" s="8">
        <f t="shared" si="7"/>
        <v>2.534596461</v>
      </c>
      <c r="S4" s="8">
        <v>3.46024537941756</v>
      </c>
      <c r="T4" s="9">
        <v>1.91988888548285E-5</v>
      </c>
      <c r="U4" s="8">
        <v>0.001266284088624</v>
      </c>
      <c r="V4" s="8">
        <v>1.3484483340307</v>
      </c>
      <c r="W4" s="9">
        <v>5.46934235313677E-6</v>
      </c>
      <c r="X4" s="8">
        <v>0.0017343360177113</v>
      </c>
      <c r="Y4" s="8">
        <v>63.0726751619057</v>
      </c>
      <c r="Z4" s="8">
        <v>3.30873362748711E-4</v>
      </c>
      <c r="AA4" s="8">
        <v>2.8839627798566E-4</v>
      </c>
      <c r="AB4" s="55">
        <v>136.714673055791</v>
      </c>
      <c r="AC4" s="55">
        <f t="shared" si="8"/>
        <v>1.279599118</v>
      </c>
      <c r="AD4" s="55">
        <f t="shared" si="9"/>
        <v>1.112275537</v>
      </c>
      <c r="AE4" s="55">
        <v>29.4788721186633</v>
      </c>
      <c r="AF4" s="55">
        <f t="shared" si="10"/>
        <v>30.88342948</v>
      </c>
      <c r="AG4" s="8">
        <v>106.160387457952</v>
      </c>
      <c r="AH4" s="8">
        <v>8.81723852696386</v>
      </c>
      <c r="AI4" s="8">
        <v>6.85026425084546</v>
      </c>
      <c r="AJ4" s="8">
        <v>3.2444829011676</v>
      </c>
      <c r="AK4" s="8">
        <v>3.50014848052168</v>
      </c>
      <c r="AL4" s="8">
        <v>3.65730865492678</v>
      </c>
      <c r="AM4" s="8">
        <v>4.00343847121087</v>
      </c>
      <c r="AN4" s="8">
        <v>3.19214902679028</v>
      </c>
      <c r="AO4" s="8">
        <v>3.20410661065306</v>
      </c>
      <c r="AP4" s="8">
        <v>5.81541903316534</v>
      </c>
      <c r="AQ4" s="8">
        <v>6.33957928599464</v>
      </c>
      <c r="AR4" s="8">
        <v>0.686278536223487</v>
      </c>
      <c r="AS4" s="8">
        <v>1.1162936161232</v>
      </c>
      <c r="AT4" s="8">
        <v>2.56994466150967</v>
      </c>
      <c r="AU4" s="8">
        <v>0.535525702773393</v>
      </c>
      <c r="AV4" s="8">
        <v>0.685560924468619</v>
      </c>
      <c r="AW4" s="8">
        <v>0.0</v>
      </c>
      <c r="AX4" s="8">
        <v>0.0</v>
      </c>
      <c r="AY4" s="55">
        <v>144.518043328884</v>
      </c>
      <c r="AZ4" s="55">
        <f t="shared" ref="AZ4:AZ6" si="14">(AY4*V21)/(0.5*1.16*1.09*C4^2)</f>
        <v>2.668015925</v>
      </c>
      <c r="BA4" s="55">
        <v>75.704390371836</v>
      </c>
      <c r="BB4" s="55">
        <f t="shared" si="11"/>
        <v>0.7423257544</v>
      </c>
      <c r="BC4" s="8">
        <v>108.34249067421</v>
      </c>
      <c r="BD4" s="8">
        <v>32.7670521491145</v>
      </c>
      <c r="BE4" s="8">
        <v>2.27898077273289</v>
      </c>
      <c r="BF4" s="8">
        <v>0.0</v>
      </c>
      <c r="BG4" s="8">
        <v>0.0</v>
      </c>
      <c r="BH4" s="8">
        <v>19.0579920693718</v>
      </c>
      <c r="BI4" s="8">
        <v>41.6677166163384</v>
      </c>
      <c r="BJ4" s="8">
        <v>12.5105264990328</v>
      </c>
      <c r="BK4" s="8">
        <v>0.0</v>
      </c>
      <c r="BL4" s="8">
        <v>0.0</v>
      </c>
      <c r="BM4" s="8">
        <v>-1.14946103990675</v>
      </c>
      <c r="BN4" s="8">
        <v>2.46815518709289</v>
      </c>
      <c r="BO4" s="55">
        <v>100.609800037885</v>
      </c>
      <c r="BP4" s="55">
        <f t="shared" si="12"/>
        <v>0.8919435401</v>
      </c>
      <c r="BQ4" s="55">
        <v>13.8762066880568</v>
      </c>
      <c r="BR4" s="55">
        <f t="shared" si="13"/>
        <v>0.1360643095</v>
      </c>
      <c r="BS4" s="8">
        <v>0.0</v>
      </c>
      <c r="BT4" s="8">
        <v>0.0</v>
      </c>
      <c r="BU4" s="8">
        <v>0.0</v>
      </c>
      <c r="BV4" s="8">
        <v>0.0</v>
      </c>
      <c r="BW4" s="8">
        <v>0.0</v>
      </c>
      <c r="BX4" s="8">
        <v>0.0</v>
      </c>
      <c r="BY4" s="8">
        <v>0.0</v>
      </c>
      <c r="BZ4" s="8">
        <v>0.0</v>
      </c>
      <c r="CA4" s="8">
        <v>0.0</v>
      </c>
      <c r="CB4" s="8">
        <v>0.0</v>
      </c>
      <c r="CC4" s="8">
        <v>0.0</v>
      </c>
      <c r="CD4" s="8">
        <v>0.0</v>
      </c>
      <c r="CE4" s="8">
        <v>0.0</v>
      </c>
      <c r="CF4" s="8">
        <v>0.0</v>
      </c>
      <c r="CG4" s="8">
        <v>-0.027101857318402</v>
      </c>
      <c r="CH4" s="8">
        <v>0.997422291376837</v>
      </c>
      <c r="CI4" s="8">
        <v>9.67867327331251</v>
      </c>
      <c r="CJ4" s="8">
        <v>18.0500995197283</v>
      </c>
      <c r="CK4" s="8">
        <v>0.0</v>
      </c>
      <c r="CL4" s="8">
        <v>0.0</v>
      </c>
      <c r="CM4" s="8">
        <v>0.0</v>
      </c>
      <c r="CN4" s="8">
        <v>-0.136337681959277</v>
      </c>
      <c r="CO4" s="8">
        <v>7.24423202058705</v>
      </c>
      <c r="CP4" s="8">
        <v>0.0</v>
      </c>
      <c r="CQ4" s="8">
        <v>0.0</v>
      </c>
      <c r="CR4" s="8">
        <v>0.0</v>
      </c>
      <c r="CS4" s="8">
        <v>0.0</v>
      </c>
      <c r="CT4" s="8">
        <v>0.0</v>
      </c>
      <c r="CU4" s="8">
        <v>0.0</v>
      </c>
      <c r="CV4" s="8">
        <v>1.37585835910726</v>
      </c>
      <c r="CW4" s="8">
        <v>2.29553780912469</v>
      </c>
      <c r="CX4" s="8">
        <v>1.37585835910726</v>
      </c>
      <c r="CY4" s="8">
        <v>4.15040094738679</v>
      </c>
      <c r="CZ4" s="8">
        <v>0.0</v>
      </c>
      <c r="DA4" s="8">
        <v>-1.34712155909777</v>
      </c>
      <c r="DB4" s="8">
        <v>-0.0633000388324789</v>
      </c>
      <c r="DC4" s="8">
        <v>0.132263330870598</v>
      </c>
      <c r="DD4" s="8">
        <v>0.0</v>
      </c>
      <c r="DE4" s="8">
        <v>0.0</v>
      </c>
      <c r="DF4" s="8">
        <v>0.0</v>
      </c>
      <c r="DG4" s="8">
        <v>147.914246423217</v>
      </c>
      <c r="DH4" s="8">
        <v>-380.908909636113</v>
      </c>
      <c r="DI4" s="8">
        <v>-368.522719736485</v>
      </c>
      <c r="DJ4" s="8">
        <v>70.9338770299355</v>
      </c>
      <c r="DK4" s="8">
        <v>0.967482540874508</v>
      </c>
      <c r="DL4" s="8">
        <v>0.479560818144432</v>
      </c>
      <c r="DM4" s="8">
        <v>3.45100701123227</v>
      </c>
      <c r="DN4" s="8">
        <v>1.1143124697914</v>
      </c>
      <c r="DO4" s="8">
        <v>13.00849352</v>
      </c>
      <c r="DP4" s="8">
        <v>1.162</v>
      </c>
      <c r="DQ4" s="8">
        <v>100.0</v>
      </c>
      <c r="DR4" s="8">
        <v>37.37</v>
      </c>
      <c r="DS4" s="8">
        <v>6.24341222222221</v>
      </c>
      <c r="DT4" s="8">
        <v>22.4762839999999</v>
      </c>
      <c r="DU4" s="5"/>
      <c r="DV4" s="5"/>
    </row>
    <row r="5" hidden="1">
      <c r="A5" s="5" t="s">
        <v>130</v>
      </c>
      <c r="B5" s="6">
        <v>0.0</v>
      </c>
      <c r="C5" s="6">
        <v>18.0</v>
      </c>
      <c r="D5" s="6">
        <v>742.289754930264</v>
      </c>
      <c r="E5" s="8">
        <v>286.096586197103</v>
      </c>
      <c r="F5" s="3">
        <f t="shared" si="1"/>
        <v>3.497939272</v>
      </c>
      <c r="G5" s="54">
        <f t="shared" si="2"/>
        <v>3.931251715</v>
      </c>
      <c r="H5" s="8">
        <v>1.34819114244569</v>
      </c>
      <c r="I5" s="8">
        <f t="shared" si="3"/>
        <v>1.547057213</v>
      </c>
      <c r="J5" s="8">
        <v>1.5653687952213</v>
      </c>
      <c r="K5" s="8">
        <v>0.604943038418151</v>
      </c>
      <c r="L5" s="8">
        <v>2.59454251026564</v>
      </c>
      <c r="M5" s="8">
        <v>63.2749779557331</v>
      </c>
      <c r="N5" s="8">
        <f t="shared" si="4"/>
        <v>2.213320303</v>
      </c>
      <c r="O5" s="8">
        <f t="shared" si="5"/>
        <v>2.293912443</v>
      </c>
      <c r="P5" s="8">
        <v>36.7250220442668</v>
      </c>
      <c r="Q5" s="8">
        <f t="shared" si="6"/>
        <v>1.284618969</v>
      </c>
      <c r="R5" s="8">
        <f t="shared" si="7"/>
        <v>3.613775501</v>
      </c>
      <c r="S5" s="8">
        <v>3.48685744868928</v>
      </c>
      <c r="T5" s="9">
        <v>2.8670149952316E-6</v>
      </c>
      <c r="U5" s="8">
        <v>4.85602360873912E-4</v>
      </c>
      <c r="V5" s="8">
        <v>1.34879275977179</v>
      </c>
      <c r="W5" s="9">
        <v>3.52781217075408E-7</v>
      </c>
      <c r="X5" s="8">
        <v>4.40359632963566E-4</v>
      </c>
      <c r="Y5" s="8">
        <v>63.2547343859453</v>
      </c>
      <c r="Z5" s="8">
        <v>0.001146064181098</v>
      </c>
      <c r="AA5" s="8">
        <v>5.35194243145513E-4</v>
      </c>
      <c r="AB5" s="55">
        <v>267.481031186145</v>
      </c>
      <c r="AC5" s="55">
        <f t="shared" si="8"/>
        <v>1.305850582</v>
      </c>
      <c r="AD5" s="55">
        <f t="shared" si="9"/>
        <v>1.353399639</v>
      </c>
      <c r="AE5" s="55">
        <v>57.4606584162173</v>
      </c>
      <c r="AF5" s="55">
        <f t="shared" si="10"/>
        <v>65.93644124</v>
      </c>
      <c r="AG5" s="8">
        <v>207.73205778926</v>
      </c>
      <c r="AH5" s="8">
        <v>17.2686061020937</v>
      </c>
      <c r="AI5" s="8">
        <v>13.2895792763911</v>
      </c>
      <c r="AJ5" s="8">
        <v>6.40062949050058</v>
      </c>
      <c r="AK5" s="8">
        <v>6.85354057603396</v>
      </c>
      <c r="AL5" s="8">
        <v>6.88492066469076</v>
      </c>
      <c r="AM5" s="8">
        <v>7.85429569905097</v>
      </c>
      <c r="AN5" s="8">
        <v>6.20200121633548</v>
      </c>
      <c r="AO5" s="8">
        <v>6.3017639379293</v>
      </c>
      <c r="AP5" s="8">
        <v>11.4250393544646</v>
      </c>
      <c r="AQ5" s="8">
        <v>12.3680955262204</v>
      </c>
      <c r="AR5" s="8">
        <v>1.36618977329163</v>
      </c>
      <c r="AS5" s="8">
        <v>2.20233265235353</v>
      </c>
      <c r="AT5" s="8">
        <v>4.97771401889761</v>
      </c>
      <c r="AU5" s="8">
        <v>1.05815808376279</v>
      </c>
      <c r="AV5" s="8">
        <v>1.33172608662108</v>
      </c>
      <c r="AW5" s="8">
        <v>0.0</v>
      </c>
      <c r="AX5" s="8">
        <v>0.0</v>
      </c>
      <c r="AY5" s="55">
        <v>281.901466992747</v>
      </c>
      <c r="AZ5" s="55">
        <f t="shared" si="14"/>
        <v>3.871548222</v>
      </c>
      <c r="BA5" s="55">
        <v>147.358903155701</v>
      </c>
      <c r="BB5" s="55">
        <f t="shared" si="11"/>
        <v>0.825527954</v>
      </c>
      <c r="BC5" s="8">
        <v>211.247508871548</v>
      </c>
      <c r="BD5" s="8">
        <v>63.7630602975952</v>
      </c>
      <c r="BE5" s="8">
        <v>4.52124624264625</v>
      </c>
      <c r="BF5" s="8">
        <v>0.0</v>
      </c>
      <c r="BG5" s="8">
        <v>0.0</v>
      </c>
      <c r="BH5" s="8">
        <v>36.7874629692658</v>
      </c>
      <c r="BI5" s="8">
        <v>81.1909767738315</v>
      </c>
      <c r="BJ5" s="8">
        <v>24.5819420509264</v>
      </c>
      <c r="BK5" s="8">
        <v>0.0</v>
      </c>
      <c r="BL5" s="8">
        <v>0.0</v>
      </c>
      <c r="BM5" s="8">
        <v>-2.15159466168804</v>
      </c>
      <c r="BN5" s="8">
        <v>4.79852136167765</v>
      </c>
      <c r="BO5" s="55">
        <v>195.910167781681</v>
      </c>
      <c r="BP5" s="55">
        <f t="shared" si="12"/>
        <v>1.074919798</v>
      </c>
      <c r="BQ5" s="55">
        <v>26.6800390428607</v>
      </c>
      <c r="BR5" s="55">
        <f t="shared" si="13"/>
        <v>0.1494658115</v>
      </c>
      <c r="BS5" s="8">
        <v>0.0</v>
      </c>
      <c r="BT5" s="8">
        <v>0.0</v>
      </c>
      <c r="BU5" s="8">
        <v>0.0</v>
      </c>
      <c r="BV5" s="8">
        <v>0.0</v>
      </c>
      <c r="BW5" s="8">
        <v>0.0</v>
      </c>
      <c r="BX5" s="8">
        <v>0.0</v>
      </c>
      <c r="BY5" s="8">
        <v>0.0</v>
      </c>
      <c r="BZ5" s="8">
        <v>0.0</v>
      </c>
      <c r="CA5" s="8">
        <v>0.0</v>
      </c>
      <c r="CB5" s="8">
        <v>0.0</v>
      </c>
      <c r="CC5" s="8">
        <v>0.0</v>
      </c>
      <c r="CD5" s="8">
        <v>0.0</v>
      </c>
      <c r="CE5" s="8">
        <v>0.0</v>
      </c>
      <c r="CF5" s="8">
        <v>0.0</v>
      </c>
      <c r="CG5" s="8">
        <v>-0.0500501095335507</v>
      </c>
      <c r="CH5" s="8">
        <v>1.76537622760686</v>
      </c>
      <c r="CI5" s="8">
        <v>17.3605895808002</v>
      </c>
      <c r="CJ5" s="8">
        <v>34.7089223906011</v>
      </c>
      <c r="CK5" s="8">
        <v>0.0</v>
      </c>
      <c r="CL5" s="8">
        <v>0.0</v>
      </c>
      <c r="CM5" s="8">
        <v>0.0</v>
      </c>
      <c r="CN5" s="8">
        <v>-0.0507745944037792</v>
      </c>
      <c r="CO5" s="8">
        <v>13.6668605514445</v>
      </c>
      <c r="CP5" s="8">
        <v>0.0</v>
      </c>
      <c r="CQ5" s="8">
        <v>0.0</v>
      </c>
      <c r="CR5" s="8">
        <v>0.0</v>
      </c>
      <c r="CS5" s="8">
        <v>0.0</v>
      </c>
      <c r="CT5" s="8">
        <v>0.0</v>
      </c>
      <c r="CU5" s="8">
        <v>0.0</v>
      </c>
      <c r="CV5" s="8">
        <v>2.5544764542818</v>
      </c>
      <c r="CW5" s="8">
        <v>4.43376241661433</v>
      </c>
      <c r="CX5" s="8">
        <v>2.5544764542818</v>
      </c>
      <c r="CY5" s="8">
        <v>7.75974615362868</v>
      </c>
      <c r="CZ5" s="8">
        <v>0.0</v>
      </c>
      <c r="DA5" s="8">
        <v>-2.68633209289973</v>
      </c>
      <c r="DB5" s="8">
        <v>-0.0557471755045304</v>
      </c>
      <c r="DC5" s="8">
        <v>0.182245883939054</v>
      </c>
      <c r="DD5" s="8">
        <v>0.0</v>
      </c>
      <c r="DE5" s="8">
        <v>0.0</v>
      </c>
      <c r="DF5" s="8">
        <v>0.0</v>
      </c>
      <c r="DG5" s="8">
        <v>286.096586197103</v>
      </c>
      <c r="DH5" s="8">
        <v>-742.289754930264</v>
      </c>
      <c r="DI5" s="8">
        <v>-714.779159905935</v>
      </c>
      <c r="DJ5" s="8">
        <v>138.032018119159</v>
      </c>
      <c r="DK5" s="8">
        <v>0.962938199211824</v>
      </c>
      <c r="DL5" s="8">
        <v>0.482466498303702</v>
      </c>
      <c r="DM5" s="8">
        <v>3.45100701123227</v>
      </c>
      <c r="DN5" s="8">
        <v>1.1143124697914</v>
      </c>
      <c r="DO5" s="8">
        <v>18.10460438</v>
      </c>
      <c r="DP5" s="8">
        <v>1.162</v>
      </c>
      <c r="DQ5" s="8">
        <v>100.0</v>
      </c>
      <c r="DR5" s="8">
        <v>72.54</v>
      </c>
      <c r="DS5" s="8">
        <v>7.12640388888889</v>
      </c>
      <c r="DT5" s="8">
        <v>63.9776907730673</v>
      </c>
      <c r="DU5" s="5"/>
      <c r="DV5" s="5"/>
      <c r="DW5" s="12"/>
      <c r="DX5" s="12"/>
      <c r="DY5" s="12"/>
      <c r="DZ5" s="12"/>
      <c r="EA5" s="12"/>
      <c r="EB5" s="12"/>
      <c r="EC5" s="12"/>
    </row>
    <row r="6">
      <c r="A6" s="5" t="s">
        <v>132</v>
      </c>
      <c r="B6" s="6">
        <v>0.0</v>
      </c>
      <c r="C6" s="6">
        <v>20.0</v>
      </c>
      <c r="D6" s="6">
        <v>967.953000854187</v>
      </c>
      <c r="E6" s="8">
        <v>372.381063128514</v>
      </c>
      <c r="F6" s="3">
        <f t="shared" si="1"/>
        <v>3.490126222</v>
      </c>
      <c r="G6" s="54">
        <f t="shared" si="2"/>
        <v>3.403522976</v>
      </c>
      <c r="H6" s="8">
        <v>1.34268600044621</v>
      </c>
      <c r="I6" s="8">
        <f t="shared" si="3"/>
        <v>1.419798699</v>
      </c>
      <c r="J6" s="8">
        <v>1.56187239380871</v>
      </c>
      <c r="K6" s="8">
        <v>0.602472841705502</v>
      </c>
      <c r="L6" s="8">
        <v>2.59936150544833</v>
      </c>
      <c r="M6" s="8">
        <v>63.334096494907</v>
      </c>
      <c r="N6" s="8">
        <f t="shared" si="4"/>
        <v>2.210439909</v>
      </c>
      <c r="O6" s="8">
        <f t="shared" si="5"/>
        <v>1.947017775</v>
      </c>
      <c r="P6" s="8">
        <v>36.6659035050929</v>
      </c>
      <c r="Q6" s="8">
        <f t="shared" si="6"/>
        <v>1.279686313</v>
      </c>
      <c r="R6" s="8">
        <f t="shared" si="7"/>
        <v>4.084800992</v>
      </c>
      <c r="S6" s="8">
        <v>3.47950990171902</v>
      </c>
      <c r="T6" s="9">
        <v>1.4796122275579E-5</v>
      </c>
      <c r="U6" s="8">
        <v>0.001105492700045</v>
      </c>
      <c r="V6" s="8">
        <v>1.34373835957041</v>
      </c>
      <c r="W6" s="9">
        <v>1.24951821586532E-6</v>
      </c>
      <c r="X6" s="8">
        <v>8.31872142079091E-4</v>
      </c>
      <c r="Y6" s="8">
        <v>63.294769447242</v>
      </c>
      <c r="Z6" s="8">
        <v>5.72451602566212E-4</v>
      </c>
      <c r="AA6" s="8">
        <v>3.78008499886014E-4</v>
      </c>
      <c r="AB6" s="55">
        <v>349.920998707692</v>
      </c>
      <c r="AC6" s="55">
        <f t="shared" si="8"/>
        <v>1.383743272</v>
      </c>
      <c r="AD6" s="55">
        <f t="shared" si="9"/>
        <v>1.218840076</v>
      </c>
      <c r="AE6" s="55">
        <v>75.0036995133481</v>
      </c>
      <c r="AF6" s="55">
        <f t="shared" si="10"/>
        <v>79.31128718</v>
      </c>
      <c r="AG6" s="8">
        <v>271.840729281551</v>
      </c>
      <c r="AH6" s="8">
        <v>22.591616834638</v>
      </c>
      <c r="AI6" s="8">
        <v>17.2693299377488</v>
      </c>
      <c r="AJ6" s="8">
        <v>8.38950963791802</v>
      </c>
      <c r="AK6" s="8">
        <v>8.9546805633147</v>
      </c>
      <c r="AL6" s="8">
        <v>8.86269217670811</v>
      </c>
      <c r="AM6" s="8">
        <v>10.2838232576929</v>
      </c>
      <c r="AN6" s="8">
        <v>8.06042095332246</v>
      </c>
      <c r="AO6" s="8">
        <v>8.25471553657194</v>
      </c>
      <c r="AP6" s="8">
        <v>14.9613558234795</v>
      </c>
      <c r="AQ6" s="8">
        <v>16.1895885521388</v>
      </c>
      <c r="AR6" s="8">
        <v>1.79985788567938</v>
      </c>
      <c r="AS6" s="8">
        <v>2.88568601470244</v>
      </c>
      <c r="AT6" s="8">
        <v>6.49259212915634</v>
      </c>
      <c r="AU6" s="8">
        <v>1.39082075710221</v>
      </c>
      <c r="AV6" s="8">
        <v>1.73592305583491</v>
      </c>
      <c r="AW6" s="8">
        <v>0.0</v>
      </c>
      <c r="AX6" s="8">
        <v>0.0</v>
      </c>
      <c r="AY6" s="55">
        <v>369.188023227867</v>
      </c>
      <c r="AZ6" s="55">
        <f t="shared" si="14"/>
        <v>4.66015647</v>
      </c>
      <c r="BA6" s="55">
        <v>190.618358178394</v>
      </c>
      <c r="BB6" s="55">
        <f t="shared" si="11"/>
        <v>0.7970811796</v>
      </c>
      <c r="BC6" s="8">
        <v>277.476103617755</v>
      </c>
      <c r="BD6" s="8">
        <v>82.706533889124</v>
      </c>
      <c r="BE6" s="8">
        <v>5.91360825836281</v>
      </c>
      <c r="BF6" s="8">
        <v>0.0</v>
      </c>
      <c r="BG6" s="8">
        <v>0.0</v>
      </c>
      <c r="BH6" s="8">
        <v>46.8390760448826</v>
      </c>
      <c r="BI6" s="8">
        <v>105.307100258544</v>
      </c>
      <c r="BJ6" s="8">
        <v>32.320657750444</v>
      </c>
      <c r="BK6" s="8">
        <v>0.0</v>
      </c>
      <c r="BL6" s="8">
        <v>0.0</v>
      </c>
      <c r="BM6" s="8">
        <v>-2.82183079573786</v>
      </c>
      <c r="BN6" s="8">
        <v>6.15152412452358</v>
      </c>
      <c r="BO6" s="55">
        <v>256.28078032724</v>
      </c>
      <c r="BP6" s="55">
        <f t="shared" si="12"/>
        <v>0.988300711</v>
      </c>
      <c r="BQ6" s="55">
        <v>34.5281869596538</v>
      </c>
      <c r="BR6" s="55">
        <f t="shared" si="13"/>
        <v>0.1443815184</v>
      </c>
      <c r="BS6" s="8">
        <v>0.0</v>
      </c>
      <c r="BT6" s="8">
        <v>0.0</v>
      </c>
      <c r="BU6" s="8">
        <v>0.0</v>
      </c>
      <c r="BV6" s="8">
        <v>0.0</v>
      </c>
      <c r="BW6" s="8">
        <v>0.0</v>
      </c>
      <c r="BX6" s="8">
        <v>0.0</v>
      </c>
      <c r="BY6" s="8">
        <v>0.0</v>
      </c>
      <c r="BZ6" s="8">
        <v>0.0</v>
      </c>
      <c r="CA6" s="8">
        <v>0.0</v>
      </c>
      <c r="CB6" s="8">
        <v>0.0</v>
      </c>
      <c r="CC6" s="8">
        <v>0.0</v>
      </c>
      <c r="CD6" s="8">
        <v>0.0</v>
      </c>
      <c r="CE6" s="8">
        <v>0.0</v>
      </c>
      <c r="CF6" s="8">
        <v>0.0</v>
      </c>
      <c r="CG6" s="8">
        <v>-0.0841163781762148</v>
      </c>
      <c r="CH6" s="8">
        <v>2.29684960643464</v>
      </c>
      <c r="CI6" s="8">
        <v>19.1488525596624</v>
      </c>
      <c r="CJ6" s="8">
        <v>45.4164806101514</v>
      </c>
      <c r="CK6" s="8">
        <v>0.0</v>
      </c>
      <c r="CL6" s="8">
        <v>0.0</v>
      </c>
      <c r="CM6" s="8">
        <v>0.0</v>
      </c>
      <c r="CN6" s="8">
        <v>0.0208171935263515</v>
      </c>
      <c r="CO6" s="8">
        <v>18.4563089678408</v>
      </c>
      <c r="CP6" s="8">
        <v>0.0</v>
      </c>
      <c r="CQ6" s="8">
        <v>0.0</v>
      </c>
      <c r="CR6" s="8">
        <v>0.0</v>
      </c>
      <c r="CS6" s="8">
        <v>0.0</v>
      </c>
      <c r="CT6" s="8">
        <v>0.0</v>
      </c>
      <c r="CU6" s="8">
        <v>0.0</v>
      </c>
      <c r="CV6" s="8">
        <v>3.19498853069861</v>
      </c>
      <c r="CW6" s="8">
        <v>6.01412135734815</v>
      </c>
      <c r="CX6" s="8">
        <v>3.19498853069861</v>
      </c>
      <c r="CY6" s="8">
        <v>10.3500693041175</v>
      </c>
      <c r="CZ6" s="8">
        <v>0.0</v>
      </c>
      <c r="DA6" s="8">
        <v>-3.04231835359676</v>
      </c>
      <c r="DB6" s="8">
        <v>0.0271136446942454</v>
      </c>
      <c r="DC6" s="8">
        <v>0.205441479945336</v>
      </c>
      <c r="DD6" s="8">
        <v>0.0</v>
      </c>
      <c r="DE6" s="8">
        <v>0.0</v>
      </c>
      <c r="DF6" s="8">
        <v>0.0</v>
      </c>
      <c r="DG6" s="8">
        <v>372.381063128514</v>
      </c>
      <c r="DH6" s="8">
        <v>-967.953000854187</v>
      </c>
      <c r="DI6" s="8">
        <v>-930.966325948706</v>
      </c>
      <c r="DJ6" s="8">
        <v>179.49514178403</v>
      </c>
      <c r="DK6" s="8">
        <v>0.96178876983403</v>
      </c>
      <c r="DL6" s="8">
        <v>0.482020058367157</v>
      </c>
      <c r="DM6" s="8">
        <v>3.45100701123227</v>
      </c>
      <c r="DN6" s="8">
        <v>1.1143124697914</v>
      </c>
      <c r="DO6" s="8">
        <v>20.69736254</v>
      </c>
      <c r="DP6" s="8">
        <v>1.162</v>
      </c>
      <c r="DQ6" s="8">
        <v>100.0</v>
      </c>
      <c r="DR6" s="8">
        <v>40.878</v>
      </c>
      <c r="DS6" s="8">
        <v>9.62194749999998</v>
      </c>
      <c r="DT6" s="8">
        <v>56.7852639344261</v>
      </c>
      <c r="DU6" s="5"/>
      <c r="DV6" s="5"/>
    </row>
    <row r="7">
      <c r="AB7" s="12"/>
      <c r="AC7" s="12"/>
      <c r="AD7" s="12"/>
      <c r="AE7" s="12"/>
      <c r="AF7" s="12"/>
      <c r="AY7" s="12"/>
      <c r="AZ7" s="55"/>
      <c r="BA7" s="12"/>
      <c r="BB7" s="12"/>
      <c r="BO7" s="12"/>
      <c r="BP7" s="12"/>
      <c r="BQ7" s="12"/>
      <c r="BR7" s="12"/>
    </row>
    <row r="8">
      <c r="A8" s="14" t="s">
        <v>117</v>
      </c>
      <c r="B8" s="14">
        <v>-2.0</v>
      </c>
      <c r="C8" s="14">
        <v>10.0</v>
      </c>
      <c r="D8" s="14">
        <v>239.44479014711</v>
      </c>
      <c r="E8" s="14">
        <v>93.2048649556719</v>
      </c>
      <c r="F8" s="3">
        <f t="shared" ref="F8:F10" si="15">D8/(0.5*DP8*DN8*(DO8^2))</f>
        <v>3.410929396</v>
      </c>
      <c r="G8" s="14"/>
      <c r="H8" s="14">
        <v>1.32771825068467</v>
      </c>
      <c r="I8" s="14"/>
      <c r="J8" s="14">
        <v>1.52643085239443</v>
      </c>
      <c r="K8" s="14">
        <v>0.596072757296949</v>
      </c>
      <c r="L8" s="14">
        <v>2.56901600856338</v>
      </c>
      <c r="M8" s="14">
        <v>63.4140314124158</v>
      </c>
      <c r="N8" s="14"/>
      <c r="O8" s="14"/>
      <c r="P8" s="14">
        <v>36.5859685875841</v>
      </c>
      <c r="Q8" s="14"/>
      <c r="R8" s="14"/>
      <c r="S8" s="14">
        <v>3.40237856243053</v>
      </c>
      <c r="T8" s="15">
        <v>2.0304961252881E-5</v>
      </c>
      <c r="U8" s="14">
        <v>0.0013243977955807</v>
      </c>
      <c r="V8" s="14">
        <v>1.32925047890941</v>
      </c>
      <c r="W8" s="15">
        <v>8.11682759217976E-6</v>
      </c>
      <c r="X8" s="14">
        <v>0.0021433166375579</v>
      </c>
      <c r="Y8" s="14">
        <v>63.4054971076272</v>
      </c>
      <c r="Z8" s="14">
        <v>0.0049327329482171</v>
      </c>
      <c r="AA8" s="14">
        <v>0.0011076865698872</v>
      </c>
      <c r="AB8" s="2">
        <v>87.1456554939996</v>
      </c>
      <c r="AC8" s="2"/>
      <c r="AD8" s="2"/>
      <c r="AE8" s="2">
        <v>18.9798956369322</v>
      </c>
      <c r="AF8" s="2"/>
      <c r="AG8" s="14">
        <v>67.7834839531517</v>
      </c>
      <c r="AH8" s="14">
        <v>5.58726199438106</v>
      </c>
      <c r="AI8" s="14">
        <v>4.33289753565643</v>
      </c>
      <c r="AJ8" s="14">
        <v>2.03667905444212</v>
      </c>
      <c r="AK8" s="14">
        <v>2.22376655078011</v>
      </c>
      <c r="AL8" s="14">
        <v>2.64114555675972</v>
      </c>
      <c r="AM8" s="14">
        <v>2.53291426942156</v>
      </c>
      <c r="AN8" s="14">
        <v>2.02642720654752</v>
      </c>
      <c r="AO8" s="14">
        <v>2.01904414836519</v>
      </c>
      <c r="AP8" s="14">
        <v>3.69187046943222</v>
      </c>
      <c r="AQ8" s="14">
        <v>4.04197476713959</v>
      </c>
      <c r="AR8" s="14">
        <v>0.433430219072785</v>
      </c>
      <c r="AS8" s="14">
        <v>0.706161419375809</v>
      </c>
      <c r="AT8" s="14">
        <v>1.61812688433942</v>
      </c>
      <c r="AU8" s="14">
        <v>0.328342572958938</v>
      </c>
      <c r="AV8" s="14">
        <v>0.43015405967539</v>
      </c>
      <c r="AW8" s="14">
        <v>0.0</v>
      </c>
      <c r="AX8" s="14">
        <v>0.0</v>
      </c>
      <c r="AY8" s="2">
        <v>90.6510775876108</v>
      </c>
      <c r="AZ8" s="2"/>
      <c r="BA8" s="2">
        <v>47.2195602821343</v>
      </c>
      <c r="BB8" s="2"/>
      <c r="BC8" s="14">
        <v>68.0262633347578</v>
      </c>
      <c r="BD8" s="14">
        <v>20.4948547397414</v>
      </c>
      <c r="BE8" s="14">
        <v>1.45645905106979</v>
      </c>
      <c r="BF8" s="14">
        <v>0.0</v>
      </c>
      <c r="BG8" s="14">
        <v>0.0</v>
      </c>
      <c r="BH8" s="14">
        <v>11.8175311655634</v>
      </c>
      <c r="BI8" s="14">
        <v>25.9765361105004</v>
      </c>
      <c r="BJ8" s="14">
        <v>8.03141046120394</v>
      </c>
      <c r="BK8" s="14">
        <v>0.0</v>
      </c>
      <c r="BL8" s="14">
        <v>0.0</v>
      </c>
      <c r="BM8" s="14">
        <v>-0.782958589027956</v>
      </c>
      <c r="BN8" s="14">
        <v>1.39408254486649</v>
      </c>
      <c r="BO8" s="2">
        <v>62.4599501049469</v>
      </c>
      <c r="BP8" s="2"/>
      <c r="BQ8" s="2">
        <v>8.74092975016606</v>
      </c>
      <c r="BR8" s="2"/>
      <c r="BS8" s="14">
        <v>0.0</v>
      </c>
      <c r="BT8" s="14">
        <v>0.0</v>
      </c>
      <c r="BU8" s="14">
        <v>0.0</v>
      </c>
      <c r="BV8" s="14">
        <v>0.0</v>
      </c>
      <c r="BW8" s="14">
        <v>0.0</v>
      </c>
      <c r="BX8" s="14">
        <v>0.0</v>
      </c>
      <c r="BY8" s="14">
        <v>0.0</v>
      </c>
      <c r="BZ8" s="14">
        <v>0.0</v>
      </c>
      <c r="CA8" s="14">
        <v>0.0</v>
      </c>
      <c r="CB8" s="14">
        <v>0.0</v>
      </c>
      <c r="CC8" s="14">
        <v>0.0</v>
      </c>
      <c r="CD8" s="14">
        <v>0.0</v>
      </c>
      <c r="CE8" s="14">
        <v>0.0</v>
      </c>
      <c r="CF8" s="14">
        <v>0.0</v>
      </c>
      <c r="CG8" s="14">
        <v>-0.0352804027733699</v>
      </c>
      <c r="CH8" s="14">
        <v>0.655228027943554</v>
      </c>
      <c r="CI8" s="14">
        <v>6.00231640702778</v>
      </c>
      <c r="CJ8" s="14">
        <v>10.9958077953915</v>
      </c>
      <c r="CK8" s="14">
        <v>0.0</v>
      </c>
      <c r="CL8" s="14">
        <v>0.0</v>
      </c>
      <c r="CM8" s="14">
        <v>0.0</v>
      </c>
      <c r="CN8" s="14">
        <v>-0.140084545874752</v>
      </c>
      <c r="CO8" s="14">
        <v>4.64827349779033</v>
      </c>
      <c r="CP8" s="14">
        <v>0.0</v>
      </c>
      <c r="CQ8" s="14">
        <v>0.0</v>
      </c>
      <c r="CR8" s="14">
        <v>0.0</v>
      </c>
      <c r="CS8" s="14">
        <v>0.0</v>
      </c>
      <c r="CT8" s="14">
        <v>0.0</v>
      </c>
      <c r="CU8" s="14">
        <v>0.0</v>
      </c>
      <c r="CV8" s="14">
        <v>0.957922201045591</v>
      </c>
      <c r="CW8" s="14">
        <v>1.68163685979736</v>
      </c>
      <c r="CX8" s="14">
        <v>0.957922201045591</v>
      </c>
      <c r="CY8" s="14">
        <v>2.67634583087173</v>
      </c>
      <c r="CZ8" s="14">
        <v>0.0</v>
      </c>
      <c r="DA8" s="14">
        <v>-0.653421001587356</v>
      </c>
      <c r="DB8" s="14">
        <v>-0.0698809561142404</v>
      </c>
      <c r="DC8" s="14">
        <v>0.107779139109775</v>
      </c>
      <c r="DD8" s="14">
        <v>0.0</v>
      </c>
      <c r="DE8" s="14">
        <v>0.0</v>
      </c>
      <c r="DF8" s="14">
        <v>0.0</v>
      </c>
      <c r="DG8" s="14">
        <v>93.2048649556719</v>
      </c>
      <c r="DH8" s="14">
        <v>-239.44479014711</v>
      </c>
      <c r="DI8" s="14">
        <v>-229.92308121942</v>
      </c>
      <c r="DJ8" s="14">
        <v>44.3639633287419</v>
      </c>
      <c r="DK8" s="14">
        <v>0.960234219663583</v>
      </c>
      <c r="DL8" s="14">
        <v>0.475983344322652</v>
      </c>
      <c r="DM8" s="14">
        <v>3.45165896522546</v>
      </c>
      <c r="DN8" s="14">
        <v>1.11372163417228</v>
      </c>
      <c r="DO8" s="14">
        <v>10.41573536</v>
      </c>
      <c r="DP8" s="14">
        <v>1.162</v>
      </c>
      <c r="DQ8" s="14">
        <v>100.0</v>
      </c>
      <c r="DR8" s="14">
        <v>472.563</v>
      </c>
      <c r="DS8" s="14">
        <v>107.933936666666</v>
      </c>
      <c r="DT8" s="14">
        <v>485.702714999999</v>
      </c>
      <c r="DU8" s="16"/>
      <c r="DV8" s="16"/>
    </row>
    <row r="9">
      <c r="A9" s="14" t="s">
        <v>127</v>
      </c>
      <c r="B9" s="14">
        <v>-4.0</v>
      </c>
      <c r="C9" s="14">
        <v>10.0</v>
      </c>
      <c r="D9" s="14">
        <v>235.033865623297</v>
      </c>
      <c r="E9" s="14">
        <v>91.6505686873178</v>
      </c>
      <c r="F9" s="3">
        <f t="shared" si="15"/>
        <v>3.346445034</v>
      </c>
      <c r="G9" s="14"/>
      <c r="H9" s="14">
        <v>1.30493360133231</v>
      </c>
      <c r="I9" s="14"/>
      <c r="J9" s="14">
        <v>1.49757334521932</v>
      </c>
      <c r="K9" s="14">
        <v>0.585554977712853</v>
      </c>
      <c r="L9" s="14">
        <v>2.56445616202511</v>
      </c>
      <c r="M9" s="14">
        <v>63.7857161481022</v>
      </c>
      <c r="N9" s="14"/>
      <c r="O9" s="14"/>
      <c r="P9" s="14">
        <v>36.2142838518977</v>
      </c>
      <c r="Q9" s="14"/>
      <c r="R9" s="14"/>
      <c r="S9" s="14">
        <v>3.33603926303754</v>
      </c>
      <c r="T9" s="15">
        <v>1.30988352260027E-6</v>
      </c>
      <c r="U9" s="14">
        <v>3.4307193035385E-4</v>
      </c>
      <c r="V9" s="14">
        <v>1.3045980455985</v>
      </c>
      <c r="W9" s="15">
        <v>1.43412680101767E-8</v>
      </c>
      <c r="X9" s="15">
        <v>9.17945828170344E-5</v>
      </c>
      <c r="Y9" s="14">
        <v>63.7771737185601</v>
      </c>
      <c r="Z9" s="15">
        <v>5.90261818632375E-5</v>
      </c>
      <c r="AA9" s="14">
        <v>1.20463943524222E-4</v>
      </c>
      <c r="AB9" s="2">
        <v>86.3483609336589</v>
      </c>
      <c r="AC9" s="2"/>
      <c r="AD9" s="2"/>
      <c r="AE9" s="2">
        <v>18.8335127458336</v>
      </c>
      <c r="AF9" s="2"/>
      <c r="AG9" s="14">
        <v>67.1638946836873</v>
      </c>
      <c r="AH9" s="14">
        <v>5.54812314488495</v>
      </c>
      <c r="AI9" s="14">
        <v>4.27047038377754</v>
      </c>
      <c r="AJ9" s="14">
        <v>2.049897298926</v>
      </c>
      <c r="AK9" s="14">
        <v>2.16706872363978</v>
      </c>
      <c r="AL9" s="14">
        <v>2.64126706524528</v>
      </c>
      <c r="AM9" s="14">
        <v>2.4938514947287</v>
      </c>
      <c r="AN9" s="14">
        <v>1.99144036788228</v>
      </c>
      <c r="AO9" s="14">
        <v>2.02259218361538</v>
      </c>
      <c r="AP9" s="14">
        <v>3.63281875471567</v>
      </c>
      <c r="AQ9" s="14">
        <v>3.9837508391736</v>
      </c>
      <c r="AR9" s="14">
        <v>0.43602397181317</v>
      </c>
      <c r="AS9" s="14">
        <v>0.72913188775657</v>
      </c>
      <c r="AT9" s="14">
        <v>1.624021994273</v>
      </c>
      <c r="AU9" s="14">
        <v>0.337066022279733</v>
      </c>
      <c r="AV9" s="14">
        <v>0.457636108377943</v>
      </c>
      <c r="AW9" s="14">
        <v>0.0</v>
      </c>
      <c r="AX9" s="14">
        <v>0.0</v>
      </c>
      <c r="AY9" s="2">
        <v>88.5014238526488</v>
      </c>
      <c r="AZ9" s="2"/>
      <c r="BA9" s="2">
        <v>45.8876870441997</v>
      </c>
      <c r="BB9" s="2"/>
      <c r="BC9" s="14">
        <v>66.6921560492895</v>
      </c>
      <c r="BD9" s="14">
        <v>19.807232075086</v>
      </c>
      <c r="BE9" s="14">
        <v>1.40154388887993</v>
      </c>
      <c r="BF9" s="14">
        <v>0.0</v>
      </c>
      <c r="BG9" s="14">
        <v>0.0</v>
      </c>
      <c r="BH9" s="14">
        <v>11.5321489161026</v>
      </c>
      <c r="BI9" s="14">
        <v>25.1757849763395</v>
      </c>
      <c r="BJ9" s="14">
        <v>7.86880463700847</v>
      </c>
      <c r="BK9" s="14">
        <v>0.0</v>
      </c>
      <c r="BL9" s="14">
        <v>0.0</v>
      </c>
      <c r="BM9" s="14">
        <v>-0.801052049486487</v>
      </c>
      <c r="BN9" s="14">
        <v>1.31094851474911</v>
      </c>
      <c r="BO9" s="2">
        <v>61.1501217996371</v>
      </c>
      <c r="BP9" s="2"/>
      <c r="BQ9" s="2">
        <v>8.37463463820456</v>
      </c>
      <c r="BR9" s="2"/>
      <c r="BS9" s="14">
        <v>0.0</v>
      </c>
      <c r="BT9" s="14">
        <v>0.0</v>
      </c>
      <c r="BU9" s="14">
        <v>0.0</v>
      </c>
      <c r="BV9" s="14">
        <v>0.0</v>
      </c>
      <c r="BW9" s="14">
        <v>0.0</v>
      </c>
      <c r="BX9" s="14">
        <v>0.0</v>
      </c>
      <c r="BY9" s="14">
        <v>0.0</v>
      </c>
      <c r="BZ9" s="14">
        <v>0.0</v>
      </c>
      <c r="CA9" s="14">
        <v>0.0</v>
      </c>
      <c r="CB9" s="14">
        <v>0.0</v>
      </c>
      <c r="CC9" s="14">
        <v>0.0</v>
      </c>
      <c r="CD9" s="14">
        <v>0.0</v>
      </c>
      <c r="CE9" s="14">
        <v>0.0</v>
      </c>
      <c r="CF9" s="14">
        <v>0.0</v>
      </c>
      <c r="CG9" s="14">
        <v>-0.0058995500232295</v>
      </c>
      <c r="CH9" s="14">
        <v>0.623134515403397</v>
      </c>
      <c r="CI9" s="14">
        <v>6.05797681398637</v>
      </c>
      <c r="CJ9" s="14">
        <v>10.997760646307</v>
      </c>
      <c r="CK9" s="14">
        <v>0.0</v>
      </c>
      <c r="CL9" s="14">
        <v>0.0</v>
      </c>
      <c r="CM9" s="14">
        <v>0.0</v>
      </c>
      <c r="CN9" s="14">
        <v>-0.193688789908695</v>
      </c>
      <c r="CO9" s="14">
        <v>4.59264934481596</v>
      </c>
      <c r="CP9" s="14">
        <v>0.0</v>
      </c>
      <c r="CQ9" s="14">
        <v>0.0</v>
      </c>
      <c r="CR9" s="14">
        <v>0.0</v>
      </c>
      <c r="CS9" s="14">
        <v>0.0</v>
      </c>
      <c r="CT9" s="14">
        <v>0.0</v>
      </c>
      <c r="CU9" s="14">
        <v>0.0</v>
      </c>
      <c r="CV9" s="14">
        <v>1.04855714516231</v>
      </c>
      <c r="CW9" s="14">
        <v>1.98619134927809</v>
      </c>
      <c r="CX9" s="14">
        <v>1.04855714516231</v>
      </c>
      <c r="CY9" s="14">
        <v>2.60476160825977</v>
      </c>
      <c r="CZ9" s="14">
        <v>0.0</v>
      </c>
      <c r="DA9" s="14">
        <v>-0.36458363282622</v>
      </c>
      <c r="DB9" s="14">
        <v>-0.0811059488760908</v>
      </c>
      <c r="DC9" s="14">
        <v>0.110932370646559</v>
      </c>
      <c r="DD9" s="14">
        <v>0.0</v>
      </c>
      <c r="DE9" s="14">
        <v>0.0</v>
      </c>
      <c r="DF9" s="14">
        <v>0.0</v>
      </c>
      <c r="DG9" s="14">
        <v>91.6505686873178</v>
      </c>
      <c r="DH9" s="14">
        <v>-235.033865623297</v>
      </c>
      <c r="DI9" s="14">
        <v>-223.9890618337</v>
      </c>
      <c r="DJ9" s="14">
        <v>43.2291434191977</v>
      </c>
      <c r="DK9" s="14">
        <v>0.953007606966311</v>
      </c>
      <c r="DL9" s="14">
        <v>0.471673488101112</v>
      </c>
      <c r="DM9" s="14">
        <v>3.45165548954137</v>
      </c>
      <c r="DN9" s="14">
        <v>1.11427077815077</v>
      </c>
      <c r="DO9" s="14">
        <v>10.41573536</v>
      </c>
      <c r="DP9" s="14">
        <v>1.162</v>
      </c>
      <c r="DQ9" s="14">
        <v>100.0</v>
      </c>
      <c r="DR9" s="14">
        <v>25.32</v>
      </c>
      <c r="DS9" s="14">
        <v>4.16485833333333</v>
      </c>
      <c r="DT9" s="14">
        <v>25.1568624161074</v>
      </c>
      <c r="DU9" s="16"/>
      <c r="DV9" s="16"/>
    </row>
    <row r="10">
      <c r="A10" s="14" t="s">
        <v>133</v>
      </c>
      <c r="B10" s="14">
        <v>-6.0</v>
      </c>
      <c r="C10" s="14">
        <v>10.0</v>
      </c>
      <c r="D10" s="14">
        <v>242.032008693434</v>
      </c>
      <c r="E10" s="14">
        <v>94.5959331422965</v>
      </c>
      <c r="F10" s="3">
        <f t="shared" si="15"/>
        <v>3.445961579</v>
      </c>
      <c r="G10" s="14"/>
      <c r="H10" s="14">
        <v>1.34682168562023</v>
      </c>
      <c r="I10" s="14"/>
      <c r="J10" s="14">
        <v>1.54210816484979</v>
      </c>
      <c r="K10" s="14">
        <v>0.604329419730309</v>
      </c>
      <c r="L10" s="14">
        <v>2.5585878869587</v>
      </c>
      <c r="M10" s="14">
        <v>62.9741732870993</v>
      </c>
      <c r="N10" s="14"/>
      <c r="O10" s="14"/>
      <c r="P10" s="14">
        <v>37.0258267129006</v>
      </c>
      <c r="Q10" s="14"/>
      <c r="R10" s="14"/>
      <c r="S10" s="14">
        <v>3.4346250863873</v>
      </c>
      <c r="T10" s="15">
        <v>9.27468962087064E-7</v>
      </c>
      <c r="U10" s="14">
        <v>2.80395057909969E-4</v>
      </c>
      <c r="V10" s="14">
        <v>1.34653061038476</v>
      </c>
      <c r="W10" s="15">
        <v>2.52773643162944E-7</v>
      </c>
      <c r="X10" s="14">
        <v>3.7337880666898E-4</v>
      </c>
      <c r="Y10" s="14">
        <v>62.9693361784479</v>
      </c>
      <c r="Z10" s="14">
        <v>1.14746877685297E-4</v>
      </c>
      <c r="AA10" s="14">
        <v>1.70114496273177E-4</v>
      </c>
      <c r="AB10" s="2">
        <v>86.7908112586823</v>
      </c>
      <c r="AC10" s="2"/>
      <c r="AD10" s="2"/>
      <c r="AE10" s="2">
        <v>18.7707062031898</v>
      </c>
      <c r="AF10" s="2"/>
      <c r="AG10" s="14">
        <v>67.387317544819</v>
      </c>
      <c r="AH10" s="14">
        <v>5.60420921880453</v>
      </c>
      <c r="AI10" s="14">
        <v>4.36584956124006</v>
      </c>
      <c r="AJ10" s="14">
        <v>2.05345534531456</v>
      </c>
      <c r="AK10" s="14">
        <v>2.21490267526953</v>
      </c>
      <c r="AL10" s="14">
        <v>2.3912926843998</v>
      </c>
      <c r="AM10" s="14">
        <v>2.54199515856895</v>
      </c>
      <c r="AN10" s="14">
        <v>2.03379548245896</v>
      </c>
      <c r="AO10" s="14">
        <v>2.03264355873381</v>
      </c>
      <c r="AP10" s="14">
        <v>3.67365947267241</v>
      </c>
      <c r="AQ10" s="14">
        <v>4.02622994894337</v>
      </c>
      <c r="AR10" s="14">
        <v>0.433711061374232</v>
      </c>
      <c r="AS10" s="14">
        <v>0.705135902917013</v>
      </c>
      <c r="AT10" s="14">
        <v>1.6447542350029</v>
      </c>
      <c r="AU10" s="14">
        <v>0.339566381045213</v>
      </c>
      <c r="AV10" s="14">
        <v>0.439339757635378</v>
      </c>
      <c r="AW10" s="14">
        <v>0.0</v>
      </c>
      <c r="AX10" s="14">
        <v>0.0</v>
      </c>
      <c r="AY10" s="2">
        <v>91.8246994665213</v>
      </c>
      <c r="AZ10" s="2"/>
      <c r="BA10" s="2">
        <v>48.3587368692974</v>
      </c>
      <c r="BB10" s="2"/>
      <c r="BC10" s="14">
        <v>68.7914884405947</v>
      </c>
      <c r="BD10" s="14">
        <v>20.9163861866659</v>
      </c>
      <c r="BE10" s="14">
        <v>1.43685489907611</v>
      </c>
      <c r="BF10" s="14">
        <v>0.0</v>
      </c>
      <c r="BG10" s="14">
        <v>0.0</v>
      </c>
      <c r="BH10" s="14">
        <v>12.2206490748284</v>
      </c>
      <c r="BI10" s="14">
        <v>26.5969065781973</v>
      </c>
      <c r="BJ10" s="14">
        <v>7.95771034045942</v>
      </c>
      <c r="BK10" s="14">
        <v>0.0</v>
      </c>
      <c r="BL10" s="14">
        <v>0.0</v>
      </c>
      <c r="BM10" s="14">
        <v>-0.756884958891524</v>
      </c>
      <c r="BN10" s="14">
        <v>1.58347087581226</v>
      </c>
      <c r="BO10" s="2">
        <v>63.8731979637279</v>
      </c>
      <c r="BP10" s="2"/>
      <c r="BQ10" s="2">
        <v>8.88944154280935</v>
      </c>
      <c r="BR10" s="2"/>
      <c r="BS10" s="14">
        <v>0.0</v>
      </c>
      <c r="BT10" s="14">
        <v>0.0</v>
      </c>
      <c r="BU10" s="14">
        <v>0.0</v>
      </c>
      <c r="BV10" s="14">
        <v>0.0</v>
      </c>
      <c r="BW10" s="14">
        <v>0.0</v>
      </c>
      <c r="BX10" s="14">
        <v>0.0</v>
      </c>
      <c r="BY10" s="14">
        <v>0.0</v>
      </c>
      <c r="BZ10" s="14">
        <v>0.0</v>
      </c>
      <c r="CA10" s="14">
        <v>0.0</v>
      </c>
      <c r="CB10" s="14">
        <v>0.0</v>
      </c>
      <c r="CC10" s="14">
        <v>0.0</v>
      </c>
      <c r="CD10" s="14">
        <v>0.0</v>
      </c>
      <c r="CE10" s="14">
        <v>0.0</v>
      </c>
      <c r="CF10" s="14">
        <v>0.0</v>
      </c>
      <c r="CG10" s="14">
        <v>-0.0179233987921638</v>
      </c>
      <c r="CH10" s="14">
        <v>0.667834930566878</v>
      </c>
      <c r="CI10" s="14">
        <v>6.41893249163846</v>
      </c>
      <c r="CJ10" s="14">
        <v>11.402113108904</v>
      </c>
      <c r="CK10" s="14">
        <v>0.0</v>
      </c>
      <c r="CL10" s="14">
        <v>0.0</v>
      </c>
      <c r="CM10" s="14">
        <v>0.0</v>
      </c>
      <c r="CN10" s="14">
        <v>-0.145669767473625</v>
      </c>
      <c r="CO10" s="14">
        <v>4.68659238812948</v>
      </c>
      <c r="CP10" s="14">
        <v>0.0</v>
      </c>
      <c r="CQ10" s="14">
        <v>0.0</v>
      </c>
      <c r="CR10" s="14">
        <v>0.0</v>
      </c>
      <c r="CS10" s="14">
        <v>0.0</v>
      </c>
      <c r="CT10" s="14">
        <v>0.0</v>
      </c>
      <c r="CU10" s="14">
        <v>0.0</v>
      </c>
      <c r="CV10" s="14">
        <v>0.963477067605762</v>
      </c>
      <c r="CW10" s="14">
        <v>1.47239079692302</v>
      </c>
      <c r="CX10" s="14">
        <v>0.963477067605762</v>
      </c>
      <c r="CY10" s="14">
        <v>2.71181912874705</v>
      </c>
      <c r="CZ10" s="14">
        <v>0.0</v>
      </c>
      <c r="DA10" s="14">
        <v>-0.817119718178232</v>
      </c>
      <c r="DB10" s="14">
        <v>-0.0524035602776755</v>
      </c>
      <c r="DC10" s="14">
        <v>0.106430424468465</v>
      </c>
      <c r="DD10" s="14">
        <v>0.0</v>
      </c>
      <c r="DE10" s="14">
        <v>0.0</v>
      </c>
      <c r="DF10" s="14">
        <v>0.0</v>
      </c>
      <c r="DG10" s="14">
        <v>94.5959331422965</v>
      </c>
      <c r="DH10" s="14">
        <v>-242.032008693434</v>
      </c>
      <c r="DI10" s="14">
        <v>-234.477391258627</v>
      </c>
      <c r="DJ10" s="14">
        <v>45.3050404708135</v>
      </c>
      <c r="DK10" s="14">
        <v>0.968786701083095</v>
      </c>
      <c r="DL10" s="14">
        <v>0.478932222198845</v>
      </c>
      <c r="DM10" s="14">
        <v>3.4510080425977</v>
      </c>
      <c r="DN10" s="14">
        <v>1.11431087222369</v>
      </c>
      <c r="DO10" s="14">
        <v>10.41573536</v>
      </c>
      <c r="DP10" s="14">
        <v>1.162</v>
      </c>
      <c r="DQ10" s="14">
        <v>100.0</v>
      </c>
      <c r="DR10" s="14">
        <v>47.777</v>
      </c>
      <c r="DS10" s="14">
        <v>3.53416638888888</v>
      </c>
      <c r="DT10" s="14">
        <v>25.4459979999999</v>
      </c>
      <c r="DU10" s="16"/>
      <c r="DV10" s="16"/>
    </row>
    <row r="11">
      <c r="AB11" s="12"/>
      <c r="AC11" s="12"/>
      <c r="AD11" s="12"/>
      <c r="AE11" s="12"/>
      <c r="AF11" s="12"/>
      <c r="AY11" s="12"/>
      <c r="AZ11" s="12"/>
      <c r="BA11" s="12"/>
      <c r="BB11" s="12"/>
      <c r="BO11" s="12"/>
      <c r="BP11" s="12"/>
      <c r="BQ11" s="12"/>
      <c r="BR11" s="12"/>
    </row>
    <row r="12">
      <c r="A12" s="18" t="s">
        <v>129</v>
      </c>
      <c r="B12" s="18">
        <v>-4.0</v>
      </c>
      <c r="C12" s="18">
        <v>15.0</v>
      </c>
      <c r="D12" s="18">
        <v>941.429091751649</v>
      </c>
      <c r="E12" s="18">
        <v>355.994305007775</v>
      </c>
      <c r="F12" s="3">
        <f t="shared" ref="F12:F14" si="16">D12/(0.5*DP12*DN12*(DO12^2))</f>
        <v>5.974503984</v>
      </c>
      <c r="G12" s="18"/>
      <c r="H12" s="18">
        <v>2.25921362778565</v>
      </c>
      <c r="I12" s="18"/>
      <c r="J12" s="18">
        <v>2.67366054737602</v>
      </c>
      <c r="K12" s="18">
        <v>1.01376329348554</v>
      </c>
      <c r="L12" s="18">
        <v>2.64450604548599</v>
      </c>
      <c r="M12" s="18">
        <v>64.2430447389903</v>
      </c>
      <c r="N12" s="18"/>
      <c r="O12" s="18"/>
      <c r="P12" s="18">
        <v>35.7569552610096</v>
      </c>
      <c r="Q12" s="18"/>
      <c r="R12" s="18"/>
      <c r="S12" s="18">
        <v>3.40374622692945</v>
      </c>
      <c r="T12" s="19">
        <v>3.16470445589373E-6</v>
      </c>
      <c r="U12" s="18">
        <v>5.22648136592994E-4</v>
      </c>
      <c r="V12" s="18">
        <v>1.29349460933217</v>
      </c>
      <c r="W12" s="19">
        <v>6.24860865428355E-6</v>
      </c>
      <c r="X12" s="18">
        <v>0.0019325335392459</v>
      </c>
      <c r="Y12" s="18">
        <v>64.1591352754868</v>
      </c>
      <c r="Z12" s="18">
        <v>0.0023980910157965</v>
      </c>
      <c r="AA12" s="18">
        <v>7.63263209223018E-4</v>
      </c>
      <c r="AB12" s="2">
        <v>348.69973270861</v>
      </c>
      <c r="AC12" s="2"/>
      <c r="AD12" s="2"/>
      <c r="AE12" s="2">
        <v>75.0312577368823</v>
      </c>
      <c r="AF12" s="2"/>
      <c r="AG12" s="18">
        <v>271.316489690695</v>
      </c>
      <c r="AH12" s="18">
        <v>22.3538338591401</v>
      </c>
      <c r="AI12" s="18">
        <v>16.893305697886</v>
      </c>
      <c r="AJ12" s="18">
        <v>8.34198684885621</v>
      </c>
      <c r="AK12" s="18">
        <v>8.77005260088056</v>
      </c>
      <c r="AL12" s="18">
        <v>9.86714834506604</v>
      </c>
      <c r="AM12" s="18">
        <v>10.0755593155721</v>
      </c>
      <c r="AN12" s="18">
        <v>7.89118478670067</v>
      </c>
      <c r="AO12" s="18">
        <v>8.18785256688814</v>
      </c>
      <c r="AP12" s="18">
        <v>14.7237558210555</v>
      </c>
      <c r="AQ12" s="18">
        <v>16.2433212188757</v>
      </c>
      <c r="AR12" s="18">
        <v>1.802506110908</v>
      </c>
      <c r="AS12" s="18">
        <v>2.97823668136832</v>
      </c>
      <c r="AT12" s="18">
        <v>6.39177004442844</v>
      </c>
      <c r="AU12" s="18">
        <v>1.37047243272944</v>
      </c>
      <c r="AV12" s="18">
        <v>1.79975860338625</v>
      </c>
      <c r="AW12" s="18">
        <v>0.0</v>
      </c>
      <c r="AX12" s="18">
        <v>0.0</v>
      </c>
      <c r="AY12" s="2">
        <v>352.593232353784</v>
      </c>
      <c r="AZ12" s="2"/>
      <c r="BA12" s="2">
        <v>178.202267942534</v>
      </c>
      <c r="BB12" s="2"/>
      <c r="BC12" s="18">
        <v>267.406703757532</v>
      </c>
      <c r="BD12" s="18">
        <v>76.4842528045676</v>
      </c>
      <c r="BE12" s="18">
        <v>5.72179753346984</v>
      </c>
      <c r="BF12" s="18">
        <v>0.0</v>
      </c>
      <c r="BG12" s="18">
        <v>0.0</v>
      </c>
      <c r="BH12" s="18">
        <v>43.848815656312</v>
      </c>
      <c r="BI12" s="18">
        <v>97.3505655710019</v>
      </c>
      <c r="BJ12" s="18">
        <v>31.9329789775094</v>
      </c>
      <c r="BK12" s="18">
        <v>0.0</v>
      </c>
      <c r="BL12" s="18">
        <v>0.0</v>
      </c>
      <c r="BM12" s="18">
        <v>-2.7413192752556</v>
      </c>
      <c r="BN12" s="18">
        <v>5.06990773771136</v>
      </c>
      <c r="BO12" s="2">
        <v>247.204145301701</v>
      </c>
      <c r="BP12" s="2"/>
      <c r="BQ12" s="2">
        <v>33.0941989676163</v>
      </c>
      <c r="BR12" s="2"/>
      <c r="BS12" s="18">
        <v>0.0</v>
      </c>
      <c r="BT12" s="18">
        <v>0.0</v>
      </c>
      <c r="BU12" s="18">
        <v>0.0</v>
      </c>
      <c r="BV12" s="18">
        <v>0.0</v>
      </c>
      <c r="BW12" s="18">
        <v>0.0</v>
      </c>
      <c r="BX12" s="18">
        <v>0.0</v>
      </c>
      <c r="BY12" s="18">
        <v>0.0</v>
      </c>
      <c r="BZ12" s="18">
        <v>0.0</v>
      </c>
      <c r="CA12" s="18">
        <v>0.0</v>
      </c>
      <c r="CB12" s="18">
        <v>0.0</v>
      </c>
      <c r="CC12" s="18">
        <v>0.0</v>
      </c>
      <c r="CD12" s="18">
        <v>0.0</v>
      </c>
      <c r="CE12" s="18">
        <v>0.0</v>
      </c>
      <c r="CF12" s="18">
        <v>0.0</v>
      </c>
      <c r="CG12" s="18">
        <v>-0.0655525566646434</v>
      </c>
      <c r="CH12" s="18">
        <v>2.1261299647509</v>
      </c>
      <c r="CI12" s="18">
        <v>19.7845651741802</v>
      </c>
      <c r="CJ12" s="18">
        <v>43.2036815118961</v>
      </c>
      <c r="CK12" s="18">
        <v>0.0</v>
      </c>
      <c r="CL12" s="18">
        <v>0.0</v>
      </c>
      <c r="CM12" s="18">
        <v>0.0</v>
      </c>
      <c r="CN12" s="18">
        <v>0.0125604747565184</v>
      </c>
      <c r="CO12" s="18">
        <v>17.4255165139107</v>
      </c>
      <c r="CP12" s="18">
        <v>0.0</v>
      </c>
      <c r="CQ12" s="18">
        <v>0.0</v>
      </c>
      <c r="CR12" s="18">
        <v>0.0</v>
      </c>
      <c r="CS12" s="18">
        <v>0.0</v>
      </c>
      <c r="CT12" s="18">
        <v>0.0</v>
      </c>
      <c r="CU12" s="18">
        <v>0.0</v>
      </c>
      <c r="CV12" s="18">
        <v>3.71138541496828</v>
      </c>
      <c r="CW12" s="18">
        <v>6.90050111260886</v>
      </c>
      <c r="CX12" s="18">
        <v>3.71138541496828</v>
      </c>
      <c r="CY12" s="18">
        <v>9.46990712126586</v>
      </c>
      <c r="CZ12" s="18">
        <v>0.0</v>
      </c>
      <c r="DA12" s="18">
        <v>-2.41541657805556</v>
      </c>
      <c r="DB12" s="18">
        <v>-0.0944876215541655</v>
      </c>
      <c r="DC12" s="18">
        <v>0.22315145117508</v>
      </c>
      <c r="DD12" s="18">
        <v>0.0</v>
      </c>
      <c r="DE12" s="18">
        <v>0.0</v>
      </c>
      <c r="DF12" s="18">
        <v>0.0</v>
      </c>
      <c r="DG12" s="18">
        <v>355.994305007775</v>
      </c>
      <c r="DH12" s="18">
        <v>-941.429091751649</v>
      </c>
      <c r="DI12" s="18">
        <v>-888.81814190768</v>
      </c>
      <c r="DJ12" s="18">
        <v>168.354692970865</v>
      </c>
      <c r="DK12" s="18">
        <v>0.944115865650509</v>
      </c>
      <c r="DL12" s="18">
        <v>0.472914006214757</v>
      </c>
      <c r="DM12" s="18">
        <v>3.45165548954137</v>
      </c>
      <c r="DN12" s="18">
        <v>1.11427077815077</v>
      </c>
      <c r="DO12" s="18">
        <v>15.60125168</v>
      </c>
      <c r="DP12" s="18">
        <v>1.162</v>
      </c>
      <c r="DQ12" s="18">
        <v>100.0</v>
      </c>
      <c r="DR12" s="18">
        <v>49.926</v>
      </c>
      <c r="DS12" s="18">
        <v>6.94510944444444</v>
      </c>
      <c r="DT12" s="18">
        <v>25.0023939999999</v>
      </c>
      <c r="DU12" s="20"/>
      <c r="DV12" s="20"/>
    </row>
    <row r="13">
      <c r="A13" s="18" t="s">
        <v>134</v>
      </c>
      <c r="B13" s="18">
        <v>-6.0</v>
      </c>
      <c r="C13" s="18">
        <v>15.0</v>
      </c>
      <c r="D13" s="18">
        <v>547.058082528251</v>
      </c>
      <c r="E13" s="18">
        <v>211.617073390587</v>
      </c>
      <c r="F13" s="3">
        <f t="shared" si="16"/>
        <v>3.49159947</v>
      </c>
      <c r="G13" s="18"/>
      <c r="H13" s="18">
        <v>1.35064646713414</v>
      </c>
      <c r="I13" s="18"/>
      <c r="J13" s="18">
        <v>1.56253173247675</v>
      </c>
      <c r="K13" s="18">
        <v>0.606045629097574</v>
      </c>
      <c r="L13" s="18">
        <v>2.58513206785792</v>
      </c>
      <c r="M13" s="18">
        <v>63.1545902967043</v>
      </c>
      <c r="N13" s="18"/>
      <c r="O13" s="18"/>
      <c r="P13" s="18">
        <v>36.8454097032956</v>
      </c>
      <c r="Q13" s="18"/>
      <c r="R13" s="18"/>
      <c r="S13" s="18">
        <v>3.48269942878504</v>
      </c>
      <c r="T13" s="19">
        <v>2.14078120418422E-7</v>
      </c>
      <c r="U13" s="18">
        <v>1.32852627110317E-4</v>
      </c>
      <c r="V13" s="18">
        <v>1.35068596507769</v>
      </c>
      <c r="W13" s="19">
        <v>1.87018035187525E-7</v>
      </c>
      <c r="X13" s="18">
        <v>3.20174955504582E-4</v>
      </c>
      <c r="Y13" s="18">
        <v>63.1665365455911</v>
      </c>
      <c r="Z13" s="19">
        <v>6.04844141163856E-5</v>
      </c>
      <c r="AA13" s="18">
        <v>1.23121720063893E-4</v>
      </c>
      <c r="AB13" s="2">
        <v>196.698765086567</v>
      </c>
      <c r="AC13" s="2"/>
      <c r="AD13" s="2"/>
      <c r="AE13" s="2">
        <v>42.2965210470517</v>
      </c>
      <c r="AF13" s="2"/>
      <c r="AG13" s="18">
        <v>152.759500919754</v>
      </c>
      <c r="AH13" s="18">
        <v>12.6870204831187</v>
      </c>
      <c r="AI13" s="18">
        <v>9.81311279061839</v>
      </c>
      <c r="AJ13" s="18">
        <v>4.68491540975996</v>
      </c>
      <c r="AK13" s="18">
        <v>5.03672395540935</v>
      </c>
      <c r="AL13" s="18">
        <v>5.14576213788379</v>
      </c>
      <c r="AM13" s="18">
        <v>5.76605805909767</v>
      </c>
      <c r="AN13" s="18">
        <v>4.57591345633478</v>
      </c>
      <c r="AO13" s="18">
        <v>4.618862646266</v>
      </c>
      <c r="AP13" s="18">
        <v>8.3799303906609</v>
      </c>
      <c r="AQ13" s="18">
        <v>9.10739386700269</v>
      </c>
      <c r="AR13" s="18">
        <v>0.996132382708855</v>
      </c>
      <c r="AS13" s="18">
        <v>1.6139652781953</v>
      </c>
      <c r="AT13" s="18">
        <v>3.67510142378688</v>
      </c>
      <c r="AU13" s="18">
        <v>0.773186925920773</v>
      </c>
      <c r="AV13" s="18">
        <v>0.981775616440011</v>
      </c>
      <c r="AW13" s="18">
        <v>0.0</v>
      </c>
      <c r="AX13" s="18">
        <v>0.0</v>
      </c>
      <c r="AY13" s="2">
        <v>207.453133994043</v>
      </c>
      <c r="AZ13" s="2"/>
      <c r="BA13" s="2">
        <v>108.343446081649</v>
      </c>
      <c r="BB13" s="2"/>
      <c r="BC13" s="18">
        <v>155.556321239283</v>
      </c>
      <c r="BD13" s="18">
        <v>46.901451717145</v>
      </c>
      <c r="BE13" s="18">
        <v>3.29890535367372</v>
      </c>
      <c r="BF13" s="18">
        <v>0.0</v>
      </c>
      <c r="BG13" s="18">
        <v>0.0</v>
      </c>
      <c r="BH13" s="18">
        <v>27.1114326005068</v>
      </c>
      <c r="BI13" s="18">
        <v>59.7018178089968</v>
      </c>
      <c r="BJ13" s="18">
        <v>18.0045093808149</v>
      </c>
      <c r="BK13" s="18">
        <v>0.0</v>
      </c>
      <c r="BL13" s="18">
        <v>0.0</v>
      </c>
      <c r="BM13" s="18">
        <v>-1.60244966973236</v>
      </c>
      <c r="BN13" s="18">
        <v>3.52568629133052</v>
      </c>
      <c r="BO13" s="2">
        <v>144.668632225323</v>
      </c>
      <c r="BP13" s="2"/>
      <c r="BQ13" s="2">
        <v>19.8170387100717</v>
      </c>
      <c r="BR13" s="2"/>
      <c r="BS13" s="18">
        <v>0.0</v>
      </c>
      <c r="BT13" s="18">
        <v>0.0</v>
      </c>
      <c r="BU13" s="18">
        <v>0.0</v>
      </c>
      <c r="BV13" s="18">
        <v>0.0</v>
      </c>
      <c r="BW13" s="18">
        <v>0.0</v>
      </c>
      <c r="BX13" s="18">
        <v>0.0</v>
      </c>
      <c r="BY13" s="18">
        <v>0.0</v>
      </c>
      <c r="BZ13" s="18">
        <v>0.0</v>
      </c>
      <c r="CA13" s="18">
        <v>0.0</v>
      </c>
      <c r="CB13" s="18">
        <v>0.0</v>
      </c>
      <c r="CC13" s="18">
        <v>0.0</v>
      </c>
      <c r="CD13" s="18">
        <v>0.0</v>
      </c>
      <c r="CE13" s="18">
        <v>0.0</v>
      </c>
      <c r="CF13" s="18">
        <v>0.0</v>
      </c>
      <c r="CG13" s="18">
        <v>-0.040405494159231</v>
      </c>
      <c r="CH13" s="18">
        <v>1.36612222389621</v>
      </c>
      <c r="CI13" s="18">
        <v>13.427976451347</v>
      </c>
      <c r="CJ13" s="18">
        <v>26.0053650671786</v>
      </c>
      <c r="CK13" s="18">
        <v>0.0</v>
      </c>
      <c r="CL13" s="18">
        <v>0.0</v>
      </c>
      <c r="CM13" s="18">
        <v>0.0</v>
      </c>
      <c r="CN13" s="18">
        <v>-0.100262222994974</v>
      </c>
      <c r="CO13" s="18">
        <v>10.2504865166784</v>
      </c>
      <c r="CP13" s="18">
        <v>0.0</v>
      </c>
      <c r="CQ13" s="18">
        <v>0.0</v>
      </c>
      <c r="CR13" s="18">
        <v>0.0</v>
      </c>
      <c r="CS13" s="18">
        <v>0.0</v>
      </c>
      <c r="CT13" s="18">
        <v>0.0</v>
      </c>
      <c r="CU13" s="18">
        <v>0.0</v>
      </c>
      <c r="CV13" s="18">
        <v>1.93438411184267</v>
      </c>
      <c r="CW13" s="18">
        <v>3.3250911070292</v>
      </c>
      <c r="CX13" s="18">
        <v>1.93438411184267</v>
      </c>
      <c r="CY13" s="18">
        <v>5.83849129390763</v>
      </c>
      <c r="CZ13" s="18">
        <v>0.0</v>
      </c>
      <c r="DA13" s="18">
        <v>-1.98919433804008</v>
      </c>
      <c r="DB13" s="18">
        <v>-0.0627562590294097</v>
      </c>
      <c r="DC13" s="18">
        <v>0.156919276823318</v>
      </c>
      <c r="DD13" s="18">
        <v>0.0</v>
      </c>
      <c r="DE13" s="18">
        <v>0.0</v>
      </c>
      <c r="DF13" s="18">
        <v>0.0</v>
      </c>
      <c r="DG13" s="18">
        <v>211.617073390587</v>
      </c>
      <c r="DH13" s="18">
        <v>-547.058082528251</v>
      </c>
      <c r="DI13" s="18">
        <v>-528.063619209783</v>
      </c>
      <c r="DJ13" s="18">
        <v>101.594082754431</v>
      </c>
      <c r="DK13" s="18">
        <v>0.965278890989628</v>
      </c>
      <c r="DL13" s="18">
        <v>0.480084527806111</v>
      </c>
      <c r="DM13" s="18">
        <v>3.4510080425977</v>
      </c>
      <c r="DN13" s="18">
        <v>1.11431087222369</v>
      </c>
      <c r="DO13" s="18">
        <v>15.55654895</v>
      </c>
      <c r="DP13" s="18">
        <v>1.162</v>
      </c>
      <c r="DQ13" s="18">
        <v>100.0</v>
      </c>
      <c r="DR13" s="18">
        <v>44.234</v>
      </c>
      <c r="DS13" s="18">
        <v>3.48052944444443</v>
      </c>
      <c r="DT13" s="18">
        <v>25.0598119999999</v>
      </c>
      <c r="DU13" s="20"/>
      <c r="DV13" s="20"/>
    </row>
    <row r="14">
      <c r="A14" s="18" t="s">
        <v>136</v>
      </c>
      <c r="B14" s="18">
        <v>-8.0</v>
      </c>
      <c r="C14" s="18">
        <v>15.0</v>
      </c>
      <c r="D14" s="18">
        <v>489.790778223283</v>
      </c>
      <c r="E14" s="18">
        <v>192.764628851499</v>
      </c>
      <c r="F14" s="3">
        <f t="shared" si="16"/>
        <v>3.125940878</v>
      </c>
      <c r="G14" s="18"/>
      <c r="H14" s="18">
        <v>1.23026174703202</v>
      </c>
      <c r="I14" s="18"/>
      <c r="J14" s="18">
        <v>1.39889522210768</v>
      </c>
      <c r="K14" s="18">
        <v>0.552001595292736</v>
      </c>
      <c r="L14" s="18">
        <v>2.54087475042221</v>
      </c>
      <c r="M14" s="18">
        <v>65.9599345153833</v>
      </c>
      <c r="N14" s="18"/>
      <c r="O14" s="18"/>
      <c r="P14" s="18">
        <v>34.0400654846166</v>
      </c>
      <c r="Q14" s="18"/>
      <c r="R14" s="18"/>
      <c r="S14" s="18">
        <v>3.13056464201991</v>
      </c>
      <c r="T14" s="19">
        <v>3.65914118502146E-5</v>
      </c>
      <c r="U14" s="18">
        <v>0.0019322659795552</v>
      </c>
      <c r="V14" s="18">
        <v>1.23614506663068</v>
      </c>
      <c r="W14" s="19">
        <v>1.08397966202899E-5</v>
      </c>
      <c r="X14" s="18">
        <v>0.0026634290175715</v>
      </c>
      <c r="Y14" s="18">
        <v>65.7222393440413</v>
      </c>
      <c r="Z14" s="18">
        <v>0.0128964627297961</v>
      </c>
      <c r="AA14" s="18">
        <v>0.0017279172928073</v>
      </c>
      <c r="AB14" s="2">
        <v>189.172145207709</v>
      </c>
      <c r="AC14" s="2"/>
      <c r="AD14" s="2"/>
      <c r="AE14" s="2">
        <v>40.1157974102443</v>
      </c>
      <c r="AF14" s="2"/>
      <c r="AG14" s="18">
        <v>147.736839607099</v>
      </c>
      <c r="AH14" s="18">
        <v>12.111425149572</v>
      </c>
      <c r="AI14" s="18">
        <v>8.98421079437275</v>
      </c>
      <c r="AJ14" s="18">
        <v>4.53735655386008</v>
      </c>
      <c r="AK14" s="18">
        <v>4.58349382686667</v>
      </c>
      <c r="AL14" s="18">
        <v>5.12980984422024</v>
      </c>
      <c r="AM14" s="18">
        <v>5.48230313768506</v>
      </c>
      <c r="AN14" s="18">
        <v>4.15518023131256</v>
      </c>
      <c r="AO14" s="18">
        <v>4.48872232917813</v>
      </c>
      <c r="AP14" s="18">
        <v>7.83824533465576</v>
      </c>
      <c r="AQ14" s="18">
        <v>8.7287853449414</v>
      </c>
      <c r="AR14" s="18">
        <v>0.977743866276542</v>
      </c>
      <c r="AS14" s="18">
        <v>1.51229006472054</v>
      </c>
      <c r="AT14" s="18">
        <v>3.47239798499636</v>
      </c>
      <c r="AU14" s="18">
        <v>0.74548760904098</v>
      </c>
      <c r="AV14" s="18">
        <v>0.965405604499444</v>
      </c>
      <c r="AW14" s="18">
        <v>0.0</v>
      </c>
      <c r="AX14" s="18">
        <v>0.0</v>
      </c>
      <c r="AY14" s="2">
        <v>177.096116307633</v>
      </c>
      <c r="AZ14" s="2"/>
      <c r="BA14" s="2">
        <v>92.3199819348811</v>
      </c>
      <c r="BB14" s="2"/>
      <c r="BC14" s="18">
        <v>134.120353293452</v>
      </c>
      <c r="BD14" s="18">
        <v>38.3580571242546</v>
      </c>
      <c r="BE14" s="18">
        <v>2.99833118528188</v>
      </c>
      <c r="BF14" s="18">
        <v>0.0</v>
      </c>
      <c r="BG14" s="18">
        <v>0.0</v>
      </c>
      <c r="BH14" s="18">
        <v>22.070048487777</v>
      </c>
      <c r="BI14" s="18">
        <v>49.9386124439186</v>
      </c>
      <c r="BJ14" s="18">
        <v>17.6255132628524</v>
      </c>
      <c r="BK14" s="18">
        <v>0.0</v>
      </c>
      <c r="BL14" s="18">
        <v>0.0</v>
      </c>
      <c r="BM14" s="18">
        <v>-1.37895648063726</v>
      </c>
      <c r="BN14" s="18">
        <v>2.68580774033302</v>
      </c>
      <c r="BO14" s="2">
        <v>128.362105369898</v>
      </c>
      <c r="BP14" s="2"/>
      <c r="BQ14" s="2">
        <v>17.707370480818</v>
      </c>
      <c r="BR14" s="2"/>
      <c r="BS14" s="18">
        <v>0.0</v>
      </c>
      <c r="BT14" s="18">
        <v>0.0</v>
      </c>
      <c r="BU14" s="18">
        <v>0.0</v>
      </c>
      <c r="BV14" s="18">
        <v>0.0</v>
      </c>
      <c r="BW14" s="18">
        <v>0.0</v>
      </c>
      <c r="BX14" s="18">
        <v>0.0</v>
      </c>
      <c r="BY14" s="18">
        <v>0.0</v>
      </c>
      <c r="BZ14" s="18">
        <v>0.0</v>
      </c>
      <c r="CA14" s="18">
        <v>0.0</v>
      </c>
      <c r="CB14" s="18">
        <v>0.0</v>
      </c>
      <c r="CC14" s="18">
        <v>0.0</v>
      </c>
      <c r="CD14" s="18">
        <v>0.0</v>
      </c>
      <c r="CE14" s="18">
        <v>0.0</v>
      </c>
      <c r="CF14" s="18">
        <v>0.0</v>
      </c>
      <c r="CG14" s="18">
        <v>-0.162532435443091</v>
      </c>
      <c r="CH14" s="18">
        <v>1.16798709327329</v>
      </c>
      <c r="CI14" s="18">
        <v>12.1537727582207</v>
      </c>
      <c r="CJ14" s="18">
        <v>24.1164740737457</v>
      </c>
      <c r="CK14" s="18">
        <v>0.0</v>
      </c>
      <c r="CL14" s="18">
        <v>0.0</v>
      </c>
      <c r="CM14" s="18">
        <v>0.0</v>
      </c>
      <c r="CN14" s="18">
        <v>-0.268033425429674</v>
      </c>
      <c r="CO14" s="18">
        <v>9.50280004082258</v>
      </c>
      <c r="CP14" s="18">
        <v>0.0</v>
      </c>
      <c r="CQ14" s="18">
        <v>0.0</v>
      </c>
      <c r="CR14" s="18">
        <v>0.0</v>
      </c>
      <c r="CS14" s="18">
        <v>0.0</v>
      </c>
      <c r="CT14" s="18">
        <v>0.0</v>
      </c>
      <c r="CU14" s="18">
        <v>0.0</v>
      </c>
      <c r="CV14" s="18">
        <v>2.90327067204642</v>
      </c>
      <c r="CW14" s="18">
        <v>6.73557739572213</v>
      </c>
      <c r="CX14" s="18">
        <v>2.90327067204642</v>
      </c>
      <c r="CY14" s="18">
        <v>5.33719107602448</v>
      </c>
      <c r="CZ14" s="18">
        <v>0.0</v>
      </c>
      <c r="DA14" s="18">
        <v>-0.116416465784375</v>
      </c>
      <c r="DB14" s="18">
        <v>-0.49550285711294</v>
      </c>
      <c r="DC14" s="18">
        <v>0.171730512302587</v>
      </c>
      <c r="DD14" s="18">
        <v>0.0</v>
      </c>
      <c r="DE14" s="18">
        <v>0.0</v>
      </c>
      <c r="DF14" s="18">
        <v>0.0</v>
      </c>
      <c r="DG14" s="18">
        <v>192.764628851499</v>
      </c>
      <c r="DH14" s="18">
        <v>-489.790778223283</v>
      </c>
      <c r="DI14" s="18">
        <v>-446.069407819921</v>
      </c>
      <c r="DJ14" s="18">
        <v>88.3055036827164</v>
      </c>
      <c r="DK14" s="18">
        <v>0.910734598634213</v>
      </c>
      <c r="DL14" s="18">
        <v>0.458100141135045</v>
      </c>
      <c r="DM14" s="18">
        <v>3.45106377608804</v>
      </c>
      <c r="DN14" s="18">
        <v>1.11436430394697</v>
      </c>
      <c r="DO14" s="18">
        <v>15.55654895</v>
      </c>
      <c r="DP14" s="18">
        <v>1.162</v>
      </c>
      <c r="DQ14" s="18">
        <v>100.0</v>
      </c>
      <c r="DR14" s="18">
        <v>44.936</v>
      </c>
      <c r="DS14" s="18">
        <v>3.81506638888888</v>
      </c>
      <c r="DT14" s="18">
        <v>27.4684779999999</v>
      </c>
      <c r="DU14" s="20"/>
      <c r="DV14" s="20"/>
    </row>
    <row r="15">
      <c r="A15" s="18"/>
      <c r="B15" s="18"/>
      <c r="C15" s="18"/>
      <c r="D15" s="18"/>
      <c r="E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9"/>
      <c r="U15" s="18"/>
      <c r="V15" s="18"/>
      <c r="W15" s="19"/>
      <c r="X15" s="18"/>
      <c r="Y15" s="18"/>
      <c r="Z15" s="18"/>
      <c r="AA15" s="18"/>
      <c r="AB15" s="2"/>
      <c r="AC15" s="2"/>
      <c r="AD15" s="2"/>
      <c r="AE15" s="2"/>
      <c r="AF15" s="2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2"/>
      <c r="AZ15" s="2"/>
      <c r="BA15" s="2"/>
      <c r="BB15" s="2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2"/>
      <c r="BP15" s="2"/>
      <c r="BQ15" s="2"/>
      <c r="BR15" s="2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20"/>
      <c r="DV15" s="20"/>
    </row>
    <row r="16">
      <c r="A16" s="53"/>
      <c r="B16" s="37"/>
      <c r="C16" s="37"/>
      <c r="D16" s="53"/>
      <c r="E16" s="53"/>
      <c r="F16" s="53"/>
      <c r="G16" s="53"/>
      <c r="H16" s="53"/>
      <c r="I16" s="53"/>
      <c r="J16" s="53"/>
      <c r="K16" s="53"/>
      <c r="L16" s="53"/>
      <c r="M16" s="37"/>
      <c r="N16" s="37"/>
      <c r="O16" s="53"/>
      <c r="P16" s="53"/>
      <c r="Q16" s="53"/>
      <c r="R16" s="37"/>
      <c r="S16" s="37"/>
      <c r="T16" s="53"/>
      <c r="U16" s="37"/>
      <c r="V16" s="53"/>
      <c r="W16" s="37"/>
      <c r="X16" s="53"/>
      <c r="Y16" s="53"/>
      <c r="Z16" s="53"/>
      <c r="AA16" s="53"/>
      <c r="AB16" s="55"/>
      <c r="AC16" s="55"/>
      <c r="AD16" s="55"/>
      <c r="AE16" s="55"/>
      <c r="AF16" s="55"/>
      <c r="AG16" s="53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53"/>
      <c r="AW16" s="37"/>
      <c r="AX16" s="53"/>
      <c r="AY16" s="55"/>
      <c r="AZ16" s="55"/>
      <c r="BA16" s="55"/>
      <c r="BB16" s="55"/>
      <c r="BC16" s="53"/>
      <c r="BD16" s="53"/>
      <c r="BE16" s="53"/>
      <c r="BF16" s="53"/>
      <c r="BG16" s="37"/>
      <c r="BH16" s="53"/>
      <c r="BI16" s="53"/>
      <c r="BJ16" s="53"/>
      <c r="BK16" s="53"/>
      <c r="BL16" s="37"/>
      <c r="BM16" s="53"/>
      <c r="BN16" s="53"/>
      <c r="BO16" s="55"/>
      <c r="BP16" s="55"/>
      <c r="BQ16" s="55"/>
      <c r="BR16" s="55"/>
      <c r="BS16" s="53"/>
      <c r="BT16" s="53"/>
      <c r="BU16" s="53"/>
      <c r="BV16" s="53"/>
      <c r="BW16" s="53"/>
      <c r="BX16" s="53"/>
      <c r="BY16" s="53"/>
      <c r="BZ16" s="53"/>
      <c r="CA16" s="53"/>
      <c r="CB16" s="56"/>
      <c r="CC16" s="56"/>
      <c r="CD16" s="56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7"/>
      <c r="EC16" s="57"/>
    </row>
    <row r="17">
      <c r="A17" s="53"/>
      <c r="B17" s="37"/>
      <c r="C17" s="37"/>
      <c r="D17" s="53"/>
      <c r="E17" s="53"/>
      <c r="F17" s="53"/>
      <c r="G17" s="53"/>
      <c r="H17" s="53"/>
      <c r="I17" s="53"/>
      <c r="J17" s="53"/>
      <c r="K17" s="53"/>
      <c r="L17" s="53"/>
      <c r="M17" s="37"/>
      <c r="N17" s="37"/>
      <c r="O17" s="53"/>
      <c r="P17" s="53"/>
      <c r="Q17" s="53"/>
      <c r="R17" s="37"/>
      <c r="S17" s="37"/>
      <c r="T17" s="53"/>
      <c r="U17" s="37"/>
      <c r="V17" s="53"/>
      <c r="W17" s="37"/>
      <c r="X17" s="53"/>
      <c r="Y17" s="53"/>
      <c r="Z17" s="53"/>
      <c r="AA17" s="53"/>
      <c r="AB17" s="55"/>
      <c r="AC17" s="55"/>
      <c r="AD17" s="55"/>
      <c r="AE17" s="55"/>
      <c r="AF17" s="55"/>
      <c r="AG17" s="53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53"/>
      <c r="AW17" s="37"/>
      <c r="AX17" s="53"/>
      <c r="AY17" s="55"/>
      <c r="AZ17" s="55"/>
      <c r="BA17" s="55"/>
      <c r="BB17" s="55"/>
      <c r="BC17" s="53"/>
      <c r="BD17" s="53"/>
      <c r="BE17" s="53"/>
      <c r="BF17" s="53"/>
      <c r="BG17" s="37"/>
      <c r="BH17" s="53"/>
      <c r="BI17" s="53"/>
      <c r="BJ17" s="53"/>
      <c r="BK17" s="53"/>
      <c r="BL17" s="37"/>
      <c r="BM17" s="53"/>
      <c r="BN17" s="53"/>
      <c r="BO17" s="55"/>
      <c r="BP17" s="55"/>
      <c r="BQ17" s="55"/>
      <c r="BR17" s="55"/>
      <c r="BS17" s="53"/>
      <c r="BT17" s="53"/>
      <c r="BU17" s="53"/>
      <c r="BV17" s="53"/>
      <c r="BW17" s="53"/>
      <c r="BX17" s="53"/>
      <c r="BY17" s="53"/>
      <c r="BZ17" s="53"/>
      <c r="CA17" s="53"/>
      <c r="CB17" s="56"/>
      <c r="CC17" s="56"/>
      <c r="CD17" s="56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  <c r="CU17" s="57"/>
      <c r="CV17" s="57"/>
      <c r="CW17" s="57"/>
      <c r="CX17" s="57"/>
      <c r="CY17" s="57"/>
      <c r="CZ17" s="57"/>
      <c r="DA17" s="57"/>
      <c r="DB17" s="57"/>
      <c r="DC17" s="57"/>
      <c r="DD17" s="57"/>
      <c r="DE17" s="57"/>
      <c r="DF17" s="57"/>
      <c r="DG17" s="57"/>
      <c r="DH17" s="57"/>
      <c r="DI17" s="57"/>
      <c r="DJ17" s="57"/>
      <c r="DK17" s="57"/>
      <c r="DL17" s="57"/>
      <c r="DM17" s="57"/>
      <c r="DN17" s="57"/>
      <c r="DO17" s="57"/>
      <c r="DP17" s="57"/>
      <c r="DQ17" s="57"/>
      <c r="DR17" s="57"/>
      <c r="DS17" s="57"/>
      <c r="DT17" s="57"/>
      <c r="DU17" s="57"/>
      <c r="DV17" s="57"/>
      <c r="DW17" s="57"/>
      <c r="DX17" s="57"/>
      <c r="DY17" s="57"/>
      <c r="DZ17" s="57"/>
      <c r="EA17" s="57"/>
      <c r="EB17" s="57"/>
      <c r="EC17" s="57"/>
    </row>
    <row r="18">
      <c r="R18" s="1"/>
      <c r="S18" s="1" t="s">
        <v>220</v>
      </c>
      <c r="T18" s="1" t="s">
        <v>221</v>
      </c>
      <c r="U18" s="1" t="s">
        <v>222</v>
      </c>
      <c r="V18" s="1"/>
      <c r="W18" s="1" t="s">
        <v>223</v>
      </c>
      <c r="X18" s="1" t="s">
        <v>224</v>
      </c>
      <c r="Y18" s="1" t="s">
        <v>225</v>
      </c>
      <c r="AB18" s="12"/>
      <c r="AC18" s="12"/>
      <c r="AD18" s="12"/>
      <c r="AE18" s="12"/>
      <c r="AF18" s="12"/>
      <c r="AY18" s="12"/>
      <c r="AZ18" s="12"/>
      <c r="BA18" s="12"/>
      <c r="BB18" s="12"/>
      <c r="BO18" s="12"/>
      <c r="BP18" s="12"/>
      <c r="BQ18" s="12"/>
      <c r="BR18" s="12"/>
    </row>
    <row r="19">
      <c r="S19" s="3">
        <f>'25 WT Data'!L2/'25 CFD Data'!H2</f>
        <v>1.018678353</v>
      </c>
      <c r="T19" s="3">
        <f>'25 WT Data'!J2/'25 CFD Data'!I2</f>
        <v>1.029624568</v>
      </c>
      <c r="U19" s="3">
        <f>'25 WT Data'!N2/'25 CFD Data'!V2</f>
        <v>0.9427741329</v>
      </c>
      <c r="V19" s="3">
        <f>'25 WT Data'!P2/'25 CFD Data'!X2</f>
        <v>1.596553535</v>
      </c>
      <c r="AB19" s="12"/>
      <c r="AC19" s="12"/>
      <c r="AD19" s="12"/>
      <c r="AE19" s="12"/>
      <c r="AF19" s="12"/>
      <c r="AY19" s="12"/>
      <c r="AZ19" s="12"/>
      <c r="BA19" s="12"/>
      <c r="BB19" s="12"/>
      <c r="BO19" s="12"/>
      <c r="BP19" s="12"/>
      <c r="BQ19" s="12"/>
      <c r="BR19" s="12"/>
    </row>
    <row r="20">
      <c r="S20" s="3">
        <f>'25 WT Data'!L3/'25 CFD Data'!H3</f>
        <v>1.052952814</v>
      </c>
      <c r="T20" s="3">
        <f>'25 WT Data'!J3/'25 CFD Data'!I3</f>
        <v>1.102082718</v>
      </c>
      <c r="U20" s="3">
        <f>'25 WT Data'!N3/'25 CFD Data'!V3</f>
        <v>0.9959955056</v>
      </c>
      <c r="V20" s="3">
        <f>'25 WT Data'!P3/'25 CFD Data'!X3</f>
        <v>1.807035913</v>
      </c>
      <c r="AB20" s="12"/>
      <c r="AC20" s="12"/>
      <c r="AD20" s="12"/>
      <c r="AE20" s="12"/>
      <c r="AF20" s="12"/>
      <c r="AY20" s="12"/>
      <c r="AZ20" s="12"/>
      <c r="BA20" s="12"/>
      <c r="BB20" s="12"/>
      <c r="BO20" s="12"/>
      <c r="BP20" s="12"/>
      <c r="BQ20" s="12"/>
      <c r="BR20" s="12"/>
    </row>
    <row r="21">
      <c r="S21" s="3">
        <f>'25 WT Data'!L4/'25 CFD Data'!H4</f>
        <v>0.9471925527</v>
      </c>
      <c r="T21" s="3">
        <f>'25 WT Data'!J4/'25 CFD Data'!I4</f>
        <v>1.047646238</v>
      </c>
      <c r="U21" s="3">
        <f>'25 WT Data'!N4/'25 CFD Data'!V4</f>
        <v>0.869237499</v>
      </c>
      <c r="V21" s="3">
        <f>'25 WT Data'!P4/'25 CFD Data'!X4</f>
        <v>1.972456984</v>
      </c>
      <c r="AB21" s="12"/>
      <c r="AC21" s="12"/>
      <c r="AD21" s="12"/>
      <c r="AE21" s="12"/>
      <c r="AF21" s="12"/>
      <c r="AY21" s="12"/>
      <c r="AZ21" s="12"/>
      <c r="BA21" s="12"/>
      <c r="BB21" s="12"/>
      <c r="BO21" s="12"/>
      <c r="BP21" s="12"/>
      <c r="BQ21" s="12"/>
      <c r="BR21" s="12"/>
    </row>
    <row r="22">
      <c r="S22" s="3">
        <f>'25 WT Data'!L5/'25 CFD Data'!H5</f>
        <v>1.123876491</v>
      </c>
      <c r="T22" s="3">
        <f>'25 WT Data'!J5/'25 CFD Data'!I5</f>
        <v>1.147505842</v>
      </c>
      <c r="U22" s="3">
        <f>'25 WT Data'!N5/'25 CFD Data'!V5</f>
        <v>1.036412326</v>
      </c>
      <c r="V22" s="3">
        <f>'25 WT Data'!P5/'25 CFD Data'!X5</f>
        <v>2.813110805</v>
      </c>
      <c r="AB22" s="12"/>
      <c r="AC22" s="12"/>
      <c r="AD22" s="12"/>
      <c r="AE22" s="12"/>
      <c r="AF22" s="12"/>
      <c r="AY22" s="12"/>
      <c r="AZ22" s="12"/>
      <c r="BA22" s="12"/>
      <c r="BB22" s="12"/>
      <c r="BO22" s="12"/>
      <c r="BP22" s="12"/>
      <c r="BQ22" s="12"/>
      <c r="BR22" s="12"/>
    </row>
    <row r="23">
      <c r="S23" s="3">
        <f>'25 WT Data'!L6/'25 CFD Data'!H6</f>
        <v>0.9751862137</v>
      </c>
      <c r="T23" s="3">
        <f>'25 WT Data'!J6/'25 CFD Data'!I6</f>
        <v>1.057431669</v>
      </c>
      <c r="U23" s="3">
        <f>'25 WT Data'!N6/'25 CFD Data'!V6</f>
        <v>0.8808281855</v>
      </c>
      <c r="V23" s="3">
        <f>'25 WT Data'!P6/'25 CFD Data'!X6</f>
        <v>3.19203304</v>
      </c>
      <c r="AB23" s="12"/>
      <c r="AC23" s="12"/>
      <c r="AD23" s="12"/>
      <c r="AE23" s="12"/>
      <c r="AF23" s="12"/>
      <c r="AY23" s="12"/>
      <c r="AZ23" s="12"/>
      <c r="BA23" s="12"/>
      <c r="BB23" s="12"/>
      <c r="BO23" s="12"/>
      <c r="BP23" s="12"/>
      <c r="BQ23" s="12"/>
      <c r="BR23" s="12"/>
    </row>
    <row r="24">
      <c r="AB24" s="12"/>
      <c r="AC24" s="12"/>
      <c r="AD24" s="12"/>
      <c r="AE24" s="12"/>
      <c r="AF24" s="12"/>
      <c r="AY24" s="12"/>
      <c r="AZ24" s="12"/>
      <c r="BA24" s="12"/>
      <c r="BB24" s="12"/>
      <c r="BO24" s="12"/>
      <c r="BP24" s="12"/>
      <c r="BQ24" s="12"/>
      <c r="BR24" s="12"/>
    </row>
    <row r="25">
      <c r="AB25" s="12"/>
      <c r="AC25" s="12"/>
      <c r="AD25" s="12"/>
      <c r="AE25" s="12"/>
      <c r="AF25" s="12"/>
      <c r="AY25" s="12"/>
      <c r="AZ25" s="12"/>
      <c r="BA25" s="12"/>
      <c r="BB25" s="12"/>
      <c r="BO25" s="12"/>
      <c r="BP25" s="12"/>
      <c r="BQ25" s="12"/>
      <c r="BR25" s="12"/>
    </row>
    <row r="26">
      <c r="AB26" s="12"/>
      <c r="AC26" s="12"/>
      <c r="AD26" s="12"/>
      <c r="AE26" s="12"/>
      <c r="AF26" s="12"/>
      <c r="AY26" s="12"/>
      <c r="AZ26" s="12"/>
      <c r="BA26" s="12"/>
      <c r="BB26" s="12"/>
      <c r="BO26" s="12"/>
      <c r="BP26" s="12"/>
      <c r="BQ26" s="12"/>
      <c r="BR26" s="12"/>
    </row>
    <row r="27">
      <c r="AB27" s="12"/>
      <c r="AC27" s="12"/>
      <c r="AD27" s="12"/>
      <c r="AE27" s="12"/>
      <c r="AF27" s="12"/>
      <c r="AY27" s="12"/>
      <c r="AZ27" s="12"/>
      <c r="BA27" s="12"/>
      <c r="BB27" s="12"/>
      <c r="BO27" s="12"/>
      <c r="BP27" s="12"/>
      <c r="BQ27" s="12"/>
      <c r="BR27" s="12"/>
    </row>
    <row r="28">
      <c r="AB28" s="12"/>
      <c r="AC28" s="12"/>
      <c r="AD28" s="12"/>
      <c r="AE28" s="12"/>
      <c r="AF28" s="12"/>
      <c r="AY28" s="12"/>
      <c r="AZ28" s="12"/>
      <c r="BA28" s="12"/>
      <c r="BB28" s="12"/>
      <c r="BO28" s="12"/>
      <c r="BP28" s="12"/>
      <c r="BQ28" s="12"/>
      <c r="BR28" s="12"/>
    </row>
    <row r="29">
      <c r="AB29" s="12"/>
      <c r="AC29" s="12"/>
      <c r="AD29" s="12"/>
      <c r="AE29" s="12"/>
      <c r="AF29" s="12"/>
      <c r="AY29" s="12"/>
      <c r="AZ29" s="12"/>
      <c r="BA29" s="12"/>
      <c r="BB29" s="12"/>
      <c r="BO29" s="12"/>
      <c r="BP29" s="12"/>
      <c r="BQ29" s="12"/>
      <c r="BR29" s="12"/>
    </row>
    <row r="30">
      <c r="AB30" s="12"/>
      <c r="AC30" s="12"/>
      <c r="AD30" s="12"/>
      <c r="AE30" s="12"/>
      <c r="AF30" s="12"/>
      <c r="AY30" s="12"/>
      <c r="AZ30" s="12"/>
      <c r="BA30" s="12"/>
      <c r="BB30" s="12"/>
      <c r="BO30" s="12"/>
      <c r="BP30" s="12"/>
      <c r="BQ30" s="12"/>
      <c r="BR30" s="12"/>
    </row>
    <row r="31">
      <c r="AB31" s="12"/>
      <c r="AC31" s="12"/>
      <c r="AD31" s="12"/>
      <c r="AE31" s="12"/>
      <c r="AF31" s="12"/>
      <c r="AY31" s="12"/>
      <c r="AZ31" s="12"/>
      <c r="BA31" s="12"/>
      <c r="BB31" s="12"/>
      <c r="BO31" s="12"/>
      <c r="BP31" s="12"/>
      <c r="BQ31" s="12"/>
      <c r="BR31" s="12"/>
    </row>
    <row r="32">
      <c r="AB32" s="12"/>
      <c r="AC32" s="12"/>
      <c r="AD32" s="12"/>
      <c r="AE32" s="12"/>
      <c r="AF32" s="12"/>
      <c r="AY32" s="12"/>
      <c r="AZ32" s="12"/>
      <c r="BA32" s="12"/>
      <c r="BB32" s="12"/>
      <c r="BO32" s="12"/>
      <c r="BP32" s="12"/>
      <c r="BQ32" s="12"/>
      <c r="BR32" s="12"/>
    </row>
    <row r="33">
      <c r="AB33" s="12"/>
      <c r="AC33" s="12"/>
      <c r="AD33" s="12"/>
      <c r="AE33" s="12"/>
      <c r="AF33" s="12"/>
      <c r="AY33" s="12"/>
      <c r="AZ33" s="12"/>
      <c r="BA33" s="12"/>
      <c r="BB33" s="12"/>
      <c r="BO33" s="12"/>
      <c r="BP33" s="12"/>
      <c r="BQ33" s="12"/>
      <c r="BR33" s="12"/>
    </row>
    <row r="34">
      <c r="AB34" s="12"/>
      <c r="AC34" s="12"/>
      <c r="AD34" s="12"/>
      <c r="AE34" s="12"/>
      <c r="AF34" s="12"/>
      <c r="AY34" s="12"/>
      <c r="AZ34" s="12"/>
      <c r="BA34" s="12"/>
      <c r="BB34" s="12"/>
      <c r="BO34" s="12"/>
      <c r="BP34" s="12"/>
      <c r="BQ34" s="12"/>
      <c r="BR34" s="12"/>
    </row>
    <row r="35">
      <c r="AB35" s="12"/>
      <c r="AC35" s="12"/>
      <c r="AD35" s="12"/>
      <c r="AE35" s="12"/>
      <c r="AF35" s="12"/>
      <c r="AY35" s="12"/>
      <c r="AZ35" s="12"/>
      <c r="BA35" s="12"/>
      <c r="BB35" s="12"/>
      <c r="BO35" s="12"/>
      <c r="BP35" s="12"/>
      <c r="BQ35" s="12"/>
      <c r="BR35" s="12"/>
    </row>
    <row r="36">
      <c r="AB36" s="12"/>
      <c r="AC36" s="12"/>
      <c r="AD36" s="12"/>
      <c r="AE36" s="12"/>
      <c r="AF36" s="12"/>
      <c r="AY36" s="12"/>
      <c r="AZ36" s="12"/>
      <c r="BA36" s="12"/>
      <c r="BB36" s="12"/>
      <c r="BO36" s="12"/>
      <c r="BP36" s="12"/>
      <c r="BQ36" s="12"/>
      <c r="BR36" s="12"/>
    </row>
    <row r="37">
      <c r="AB37" s="12"/>
      <c r="AC37" s="12"/>
      <c r="AD37" s="12"/>
      <c r="AE37" s="12"/>
      <c r="AF37" s="12"/>
      <c r="AY37" s="12"/>
      <c r="AZ37" s="12"/>
      <c r="BA37" s="12"/>
      <c r="BB37" s="12"/>
      <c r="BO37" s="12"/>
      <c r="BP37" s="12"/>
      <c r="BQ37" s="12"/>
      <c r="BR37" s="12"/>
    </row>
    <row r="38">
      <c r="AB38" s="12"/>
      <c r="AC38" s="12"/>
      <c r="AD38" s="12"/>
      <c r="AE38" s="12"/>
      <c r="AF38" s="12"/>
      <c r="AY38" s="12"/>
      <c r="AZ38" s="12"/>
      <c r="BA38" s="12"/>
      <c r="BB38" s="12"/>
      <c r="BO38" s="12"/>
      <c r="BP38" s="12"/>
      <c r="BQ38" s="12"/>
      <c r="BR38" s="12"/>
    </row>
    <row r="39">
      <c r="AB39" s="12"/>
      <c r="AC39" s="12"/>
      <c r="AD39" s="12"/>
      <c r="AE39" s="12"/>
      <c r="AF39" s="12"/>
      <c r="AY39" s="12"/>
      <c r="AZ39" s="12"/>
      <c r="BA39" s="12"/>
      <c r="BB39" s="12"/>
      <c r="BO39" s="12"/>
      <c r="BP39" s="12"/>
      <c r="BQ39" s="12"/>
      <c r="BR39" s="12"/>
    </row>
    <row r="40">
      <c r="AB40" s="12"/>
      <c r="AC40" s="12"/>
      <c r="AD40" s="12"/>
      <c r="AE40" s="12"/>
      <c r="AF40" s="12"/>
      <c r="AY40" s="12"/>
      <c r="AZ40" s="12"/>
      <c r="BA40" s="12"/>
      <c r="BB40" s="12"/>
      <c r="BO40" s="12"/>
      <c r="BP40" s="12"/>
      <c r="BQ40" s="12"/>
      <c r="BR40" s="12"/>
    </row>
    <row r="41">
      <c r="B41" s="37"/>
      <c r="C41" s="37"/>
      <c r="D41" s="53"/>
      <c r="E41" s="53"/>
      <c r="F41" s="53"/>
      <c r="G41" s="53"/>
      <c r="H41" s="53"/>
      <c r="I41" s="53"/>
      <c r="J41" s="53"/>
      <c r="K41" s="53"/>
      <c r="L41" s="53"/>
      <c r="M41" s="37"/>
      <c r="N41" s="37"/>
      <c r="O41" s="53"/>
      <c r="P41" s="53"/>
      <c r="Q41" s="53"/>
      <c r="R41" s="37"/>
      <c r="S41" s="37"/>
      <c r="T41" s="53"/>
      <c r="U41" s="37"/>
      <c r="V41" s="53"/>
      <c r="W41" s="37"/>
      <c r="X41" s="53"/>
      <c r="Y41" s="53"/>
      <c r="Z41" s="53"/>
      <c r="AA41" s="53"/>
      <c r="AB41" s="55"/>
      <c r="AC41" s="55"/>
      <c r="AD41" s="55"/>
      <c r="AE41" s="55"/>
      <c r="AF41" s="55"/>
      <c r="AG41" s="53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53"/>
      <c r="AW41" s="37"/>
      <c r="AX41" s="53"/>
      <c r="AY41" s="55"/>
      <c r="AZ41" s="55"/>
      <c r="BA41" s="55"/>
      <c r="BB41" s="55"/>
      <c r="BC41" s="53"/>
      <c r="BD41" s="53"/>
      <c r="BE41" s="53"/>
      <c r="BF41" s="53"/>
      <c r="BG41" s="37"/>
      <c r="BH41" s="53"/>
      <c r="BI41" s="53"/>
      <c r="BJ41" s="53"/>
      <c r="BK41" s="53"/>
      <c r="BL41" s="37"/>
      <c r="BM41" s="53"/>
      <c r="BN41" s="53"/>
      <c r="BO41" s="55"/>
      <c r="BP41" s="55"/>
      <c r="BQ41" s="55"/>
      <c r="BR41" s="55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  <c r="DI41" s="37"/>
      <c r="DJ41" s="37"/>
      <c r="DK41" s="37"/>
      <c r="DL41" s="37"/>
      <c r="DM41" s="37"/>
      <c r="DN41" s="37"/>
      <c r="DO41" s="37"/>
      <c r="DP41" s="37"/>
      <c r="DQ41" s="37"/>
      <c r="DR41" s="37"/>
      <c r="DS41" s="37"/>
      <c r="DT41" s="37"/>
      <c r="DU41" s="37"/>
      <c r="DV41" s="37"/>
      <c r="DW41" s="37"/>
      <c r="DX41" s="37"/>
      <c r="DY41" s="37"/>
      <c r="DZ41" s="37"/>
      <c r="EA41" s="37"/>
      <c r="EB41" s="37"/>
      <c r="EC41" s="37"/>
    </row>
    <row r="42">
      <c r="A42" s="53"/>
      <c r="B42" s="37"/>
      <c r="C42" s="37"/>
      <c r="D42" s="53"/>
      <c r="E42" s="53"/>
      <c r="F42" s="53"/>
      <c r="G42" s="53"/>
      <c r="H42" s="53"/>
      <c r="I42" s="53"/>
      <c r="J42" s="53"/>
      <c r="K42" s="53"/>
      <c r="L42" s="53"/>
      <c r="M42" s="37"/>
      <c r="N42" s="37"/>
      <c r="O42" s="53"/>
      <c r="P42" s="53"/>
      <c r="Q42" s="53"/>
      <c r="R42" s="37"/>
      <c r="S42" s="37"/>
      <c r="T42" s="53"/>
      <c r="U42" s="37"/>
      <c r="V42" s="53"/>
      <c r="W42" s="37"/>
      <c r="X42" s="53"/>
      <c r="Y42" s="53"/>
      <c r="Z42" s="53"/>
      <c r="AA42" s="53"/>
      <c r="AB42" s="55"/>
      <c r="AC42" s="55"/>
      <c r="AD42" s="55"/>
      <c r="AE42" s="55"/>
      <c r="AF42" s="55"/>
      <c r="AG42" s="53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53"/>
      <c r="AW42" s="37"/>
      <c r="AX42" s="53"/>
      <c r="AY42" s="55"/>
      <c r="AZ42" s="55"/>
      <c r="BA42" s="55"/>
      <c r="BB42" s="55"/>
      <c r="BC42" s="53"/>
      <c r="BD42" s="53"/>
      <c r="BE42" s="53"/>
      <c r="BF42" s="53"/>
      <c r="BG42" s="37"/>
      <c r="BH42" s="53"/>
      <c r="BI42" s="53"/>
      <c r="BJ42" s="53"/>
      <c r="BK42" s="53"/>
      <c r="BL42" s="37"/>
      <c r="BM42" s="53"/>
      <c r="BN42" s="53"/>
      <c r="BO42" s="55"/>
      <c r="BP42" s="55"/>
      <c r="BQ42" s="55"/>
      <c r="BR42" s="55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7"/>
      <c r="DR42" s="37"/>
      <c r="DS42" s="37"/>
      <c r="DT42" s="37"/>
      <c r="DU42" s="37"/>
      <c r="DV42" s="37"/>
      <c r="DW42" s="37"/>
      <c r="DX42" s="37"/>
      <c r="DY42" s="37"/>
      <c r="DZ42" s="37"/>
      <c r="EA42" s="37"/>
      <c r="EB42" s="37"/>
      <c r="EC42" s="37"/>
    </row>
    <row r="43">
      <c r="A43" s="53"/>
      <c r="B43" s="37"/>
      <c r="C43" s="37"/>
      <c r="D43" s="53"/>
      <c r="E43" s="53"/>
      <c r="F43" s="53"/>
      <c r="G43" s="53"/>
      <c r="H43" s="53"/>
      <c r="I43" s="53"/>
      <c r="J43" s="53"/>
      <c r="K43" s="53"/>
      <c r="L43" s="53"/>
      <c r="M43" s="37"/>
      <c r="N43" s="37"/>
      <c r="O43" s="53"/>
      <c r="P43" s="53"/>
      <c r="Q43" s="53"/>
      <c r="R43" s="37"/>
      <c r="S43" s="37"/>
      <c r="T43" s="53"/>
      <c r="U43" s="37"/>
      <c r="V43" s="53"/>
      <c r="W43" s="37"/>
      <c r="X43" s="53"/>
      <c r="Y43" s="53"/>
      <c r="Z43" s="53"/>
      <c r="AA43" s="53"/>
      <c r="AB43" s="55"/>
      <c r="AC43" s="55"/>
      <c r="AD43" s="55"/>
      <c r="AE43" s="55"/>
      <c r="AF43" s="55"/>
      <c r="AG43" s="53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53"/>
      <c r="AW43" s="37"/>
      <c r="AX43" s="53"/>
      <c r="AY43" s="55"/>
      <c r="AZ43" s="55"/>
      <c r="BA43" s="55"/>
      <c r="BB43" s="55"/>
      <c r="BC43" s="53"/>
      <c r="BD43" s="53"/>
      <c r="BE43" s="53"/>
      <c r="BF43" s="53"/>
      <c r="BG43" s="37"/>
      <c r="BH43" s="53"/>
      <c r="BI43" s="53"/>
      <c r="BJ43" s="53"/>
      <c r="BK43" s="53"/>
      <c r="BL43" s="37"/>
      <c r="BM43" s="53"/>
      <c r="BN43" s="53"/>
      <c r="BO43" s="55"/>
      <c r="BP43" s="55"/>
      <c r="BQ43" s="55"/>
      <c r="BR43" s="55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/>
      <c r="DH43" s="37"/>
      <c r="DI43" s="37"/>
      <c r="DJ43" s="37"/>
      <c r="DK43" s="37"/>
      <c r="DL43" s="37"/>
      <c r="DM43" s="37"/>
      <c r="DN43" s="37"/>
      <c r="DO43" s="37"/>
      <c r="DP43" s="37"/>
      <c r="DQ43" s="37"/>
      <c r="DR43" s="37"/>
      <c r="DS43" s="37"/>
      <c r="DT43" s="37"/>
      <c r="DU43" s="37"/>
      <c r="DV43" s="37"/>
      <c r="DW43" s="37"/>
      <c r="DX43" s="37"/>
      <c r="DY43" s="37"/>
      <c r="DZ43" s="37"/>
      <c r="EA43" s="37"/>
      <c r="EB43" s="37"/>
      <c r="EC43" s="37"/>
    </row>
    <row r="44">
      <c r="A44" s="53"/>
      <c r="B44" s="37"/>
      <c r="C44" s="37"/>
      <c r="D44" s="53"/>
      <c r="E44" s="53"/>
      <c r="F44" s="53"/>
      <c r="G44" s="53"/>
      <c r="H44" s="53"/>
      <c r="I44" s="53"/>
      <c r="J44" s="53"/>
      <c r="K44" s="53"/>
      <c r="L44" s="53"/>
      <c r="M44" s="37"/>
      <c r="N44" s="37"/>
      <c r="O44" s="53"/>
      <c r="P44" s="53"/>
      <c r="Q44" s="53"/>
      <c r="R44" s="37"/>
      <c r="S44" s="37"/>
      <c r="T44" s="53"/>
      <c r="U44" s="37"/>
      <c r="V44" s="53"/>
      <c r="W44" s="37"/>
      <c r="X44" s="53"/>
      <c r="Y44" s="53"/>
      <c r="Z44" s="53"/>
      <c r="AA44" s="53"/>
      <c r="AB44" s="55"/>
      <c r="AC44" s="55"/>
      <c r="AD44" s="55"/>
      <c r="AE44" s="55"/>
      <c r="AF44" s="55"/>
      <c r="AG44" s="53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53"/>
      <c r="AW44" s="37"/>
      <c r="AX44" s="53"/>
      <c r="AY44" s="55"/>
      <c r="AZ44" s="55"/>
      <c r="BA44" s="55"/>
      <c r="BB44" s="55"/>
      <c r="BC44" s="53"/>
      <c r="BD44" s="53"/>
      <c r="BE44" s="53"/>
      <c r="BF44" s="53"/>
      <c r="BG44" s="37"/>
      <c r="BH44" s="53"/>
      <c r="BI44" s="53"/>
      <c r="BJ44" s="53"/>
      <c r="BK44" s="53"/>
      <c r="BL44" s="37"/>
      <c r="BM44" s="53"/>
      <c r="BN44" s="53"/>
      <c r="BO44" s="55"/>
      <c r="BP44" s="55"/>
      <c r="BQ44" s="55"/>
      <c r="BR44" s="55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37"/>
      <c r="DC44" s="37"/>
      <c r="DD44" s="37"/>
      <c r="DE44" s="37"/>
      <c r="DF44" s="37"/>
      <c r="DG44" s="37"/>
      <c r="DH44" s="37"/>
      <c r="DI44" s="37"/>
      <c r="DJ44" s="37"/>
      <c r="DK44" s="37"/>
      <c r="DL44" s="37"/>
      <c r="DM44" s="37"/>
      <c r="DN44" s="37"/>
      <c r="DO44" s="37"/>
      <c r="DP44" s="37"/>
      <c r="DQ44" s="37"/>
      <c r="DR44" s="37"/>
      <c r="DS44" s="37"/>
      <c r="DT44" s="37"/>
      <c r="DU44" s="37"/>
      <c r="DV44" s="37"/>
      <c r="DW44" s="37"/>
      <c r="DX44" s="37"/>
      <c r="DY44" s="37"/>
      <c r="DZ44" s="37"/>
      <c r="EA44" s="37"/>
      <c r="EB44" s="37"/>
      <c r="EC44" s="37"/>
    </row>
    <row r="45">
      <c r="A45" s="53"/>
      <c r="AB45" s="12"/>
      <c r="AC45" s="12"/>
      <c r="AD45" s="12"/>
      <c r="AE45" s="12"/>
      <c r="AF45" s="12"/>
      <c r="AY45" s="12"/>
      <c r="AZ45" s="12"/>
      <c r="BA45" s="12"/>
      <c r="BB45" s="12"/>
      <c r="BO45" s="12"/>
      <c r="BP45" s="12"/>
      <c r="BQ45" s="12"/>
      <c r="BR45" s="12"/>
    </row>
    <row r="46">
      <c r="AB46" s="12"/>
      <c r="AC46" s="12"/>
      <c r="AD46" s="12"/>
      <c r="AE46" s="12"/>
      <c r="AF46" s="12"/>
      <c r="AY46" s="12"/>
      <c r="AZ46" s="12"/>
      <c r="BA46" s="12"/>
      <c r="BB46" s="12"/>
      <c r="BO46" s="12"/>
      <c r="BP46" s="12"/>
      <c r="BQ46" s="12"/>
      <c r="BR46" s="12"/>
    </row>
    <row r="47">
      <c r="AB47" s="12"/>
      <c r="AC47" s="12"/>
      <c r="AD47" s="12"/>
      <c r="AE47" s="12"/>
      <c r="AF47" s="12"/>
      <c r="AY47" s="12"/>
      <c r="AZ47" s="12"/>
      <c r="BA47" s="12"/>
      <c r="BB47" s="12"/>
      <c r="BO47" s="12"/>
      <c r="BP47" s="12"/>
      <c r="BQ47" s="12"/>
      <c r="BR47" s="12"/>
    </row>
    <row r="48">
      <c r="AB48" s="12"/>
      <c r="AC48" s="12"/>
      <c r="AD48" s="12"/>
      <c r="AE48" s="12"/>
      <c r="AF48" s="12"/>
      <c r="AY48" s="12"/>
      <c r="AZ48" s="12"/>
      <c r="BA48" s="12"/>
      <c r="BB48" s="12"/>
      <c r="BO48" s="12"/>
      <c r="BP48" s="12"/>
      <c r="BQ48" s="12"/>
      <c r="BR48" s="12"/>
    </row>
    <row r="49">
      <c r="AB49" s="12"/>
      <c r="AC49" s="12"/>
      <c r="AD49" s="12"/>
      <c r="AE49" s="12"/>
      <c r="AF49" s="12"/>
      <c r="AY49" s="12"/>
      <c r="AZ49" s="12"/>
      <c r="BA49" s="12"/>
      <c r="BB49" s="12"/>
      <c r="BO49" s="12"/>
      <c r="BP49" s="12"/>
      <c r="BQ49" s="12"/>
      <c r="BR49" s="12"/>
    </row>
    <row r="50">
      <c r="AB50" s="12"/>
      <c r="AC50" s="12"/>
      <c r="AD50" s="12"/>
      <c r="AE50" s="12"/>
      <c r="AF50" s="12"/>
      <c r="AY50" s="12"/>
      <c r="AZ50" s="12"/>
      <c r="BA50" s="12"/>
      <c r="BB50" s="12"/>
      <c r="BO50" s="12"/>
      <c r="BP50" s="12"/>
      <c r="BQ50" s="12"/>
      <c r="BR50" s="12"/>
    </row>
    <row r="51">
      <c r="AB51" s="12"/>
      <c r="AC51" s="12"/>
      <c r="AD51" s="12"/>
      <c r="AE51" s="12"/>
      <c r="AF51" s="12"/>
      <c r="AY51" s="12"/>
      <c r="AZ51" s="12"/>
      <c r="BA51" s="12"/>
      <c r="BB51" s="12"/>
      <c r="BO51" s="12"/>
      <c r="BP51" s="12"/>
      <c r="BQ51" s="12"/>
      <c r="BR51" s="12"/>
    </row>
    <row r="52">
      <c r="AB52" s="12"/>
      <c r="AC52" s="12"/>
      <c r="AD52" s="12"/>
      <c r="AE52" s="12"/>
      <c r="AF52" s="12"/>
      <c r="AY52" s="12"/>
      <c r="AZ52" s="12"/>
      <c r="BA52" s="12"/>
      <c r="BB52" s="12"/>
      <c r="BO52" s="12"/>
      <c r="BP52" s="12"/>
      <c r="BQ52" s="12"/>
      <c r="BR52" s="12"/>
    </row>
    <row r="53">
      <c r="AB53" s="12"/>
      <c r="AC53" s="12"/>
      <c r="AD53" s="12"/>
      <c r="AE53" s="12"/>
      <c r="AF53" s="12"/>
      <c r="AY53" s="12"/>
      <c r="AZ53" s="12"/>
      <c r="BA53" s="12"/>
      <c r="BB53" s="12"/>
      <c r="BO53" s="12"/>
      <c r="BP53" s="12"/>
      <c r="BQ53" s="12"/>
      <c r="BR53" s="12"/>
    </row>
    <row r="54">
      <c r="AB54" s="12"/>
      <c r="AC54" s="12"/>
      <c r="AD54" s="12"/>
      <c r="AE54" s="12"/>
      <c r="AF54" s="12"/>
      <c r="AY54" s="12"/>
      <c r="AZ54" s="12"/>
      <c r="BA54" s="12"/>
      <c r="BB54" s="12"/>
      <c r="BO54" s="12"/>
      <c r="BP54" s="12"/>
      <c r="BQ54" s="12"/>
      <c r="BR54" s="12"/>
    </row>
    <row r="55">
      <c r="AB55" s="12"/>
      <c r="AC55" s="12"/>
      <c r="AD55" s="12"/>
      <c r="AE55" s="12"/>
      <c r="AF55" s="12"/>
      <c r="AY55" s="12"/>
      <c r="AZ55" s="12"/>
      <c r="BA55" s="12"/>
      <c r="BB55" s="12"/>
      <c r="BO55" s="12"/>
      <c r="BP55" s="12"/>
      <c r="BQ55" s="12"/>
      <c r="BR55" s="12"/>
    </row>
    <row r="56">
      <c r="AB56" s="12"/>
      <c r="AC56" s="12"/>
      <c r="AD56" s="12"/>
      <c r="AE56" s="12"/>
      <c r="AF56" s="12"/>
      <c r="AY56" s="12"/>
      <c r="AZ56" s="12"/>
      <c r="BA56" s="12"/>
      <c r="BB56" s="12"/>
      <c r="BO56" s="12"/>
      <c r="BP56" s="12"/>
      <c r="BQ56" s="12"/>
      <c r="BR56" s="12"/>
    </row>
    <row r="57">
      <c r="AB57" s="12"/>
      <c r="AC57" s="12"/>
      <c r="AD57" s="12"/>
      <c r="AE57" s="12"/>
      <c r="AF57" s="12"/>
      <c r="AY57" s="12"/>
      <c r="AZ57" s="12"/>
      <c r="BA57" s="12"/>
      <c r="BB57" s="12"/>
      <c r="BO57" s="12"/>
      <c r="BP57" s="12"/>
      <c r="BQ57" s="12"/>
      <c r="BR57" s="12"/>
    </row>
    <row r="58">
      <c r="AB58" s="12"/>
      <c r="AC58" s="12"/>
      <c r="AD58" s="12"/>
      <c r="AE58" s="12"/>
      <c r="AF58" s="12"/>
      <c r="AY58" s="12"/>
      <c r="AZ58" s="12"/>
      <c r="BA58" s="12"/>
      <c r="BB58" s="12"/>
      <c r="BO58" s="12"/>
      <c r="BP58" s="12"/>
      <c r="BQ58" s="12"/>
      <c r="BR58" s="12"/>
    </row>
    <row r="59">
      <c r="AB59" s="12"/>
      <c r="AC59" s="12"/>
      <c r="AD59" s="12"/>
      <c r="AE59" s="12"/>
      <c r="AF59" s="12"/>
      <c r="AY59" s="12"/>
      <c r="AZ59" s="12"/>
      <c r="BA59" s="12"/>
      <c r="BB59" s="12"/>
      <c r="BO59" s="12"/>
      <c r="BP59" s="12"/>
      <c r="BQ59" s="12"/>
      <c r="BR59" s="12"/>
    </row>
    <row r="60">
      <c r="AB60" s="12"/>
      <c r="AC60" s="12"/>
      <c r="AD60" s="12"/>
      <c r="AE60" s="12"/>
      <c r="AF60" s="12"/>
      <c r="AY60" s="12"/>
      <c r="AZ60" s="12"/>
      <c r="BA60" s="12"/>
      <c r="BB60" s="12"/>
      <c r="BO60" s="12"/>
      <c r="BP60" s="12"/>
      <c r="BQ60" s="12"/>
      <c r="BR60" s="12"/>
    </row>
    <row r="61">
      <c r="AB61" s="12"/>
      <c r="AC61" s="12"/>
      <c r="AD61" s="12"/>
      <c r="AE61" s="12"/>
      <c r="AF61" s="12"/>
      <c r="AY61" s="12"/>
      <c r="AZ61" s="12"/>
      <c r="BA61" s="12"/>
      <c r="BB61" s="12"/>
      <c r="BO61" s="12"/>
      <c r="BP61" s="12"/>
      <c r="BQ61" s="12"/>
      <c r="BR61" s="12"/>
    </row>
    <row r="62">
      <c r="AB62" s="12"/>
      <c r="AC62" s="12"/>
      <c r="AD62" s="12"/>
      <c r="AE62" s="12"/>
      <c r="AF62" s="12"/>
      <c r="AY62" s="12"/>
      <c r="AZ62" s="12"/>
      <c r="BA62" s="12"/>
      <c r="BB62" s="12"/>
      <c r="BO62" s="12"/>
      <c r="BP62" s="12"/>
      <c r="BQ62" s="12"/>
      <c r="BR62" s="12"/>
    </row>
    <row r="63">
      <c r="AB63" s="12"/>
      <c r="AC63" s="12"/>
      <c r="AD63" s="12"/>
      <c r="AE63" s="12"/>
      <c r="AF63" s="12"/>
      <c r="AY63" s="12"/>
      <c r="AZ63" s="12"/>
      <c r="BA63" s="12"/>
      <c r="BB63" s="12"/>
      <c r="BO63" s="12"/>
      <c r="BP63" s="12"/>
      <c r="BQ63" s="12"/>
      <c r="BR63" s="12"/>
    </row>
    <row r="64">
      <c r="AB64" s="12"/>
      <c r="AC64" s="12"/>
      <c r="AD64" s="12"/>
      <c r="AE64" s="12"/>
      <c r="AF64" s="12"/>
      <c r="AY64" s="12"/>
      <c r="AZ64" s="12"/>
      <c r="BA64" s="12"/>
      <c r="BB64" s="12"/>
      <c r="BO64" s="12"/>
      <c r="BP64" s="12"/>
      <c r="BQ64" s="12"/>
      <c r="BR64" s="12"/>
    </row>
    <row r="65">
      <c r="AB65" s="12"/>
      <c r="AC65" s="12"/>
      <c r="AD65" s="12"/>
      <c r="AE65" s="12"/>
      <c r="AF65" s="12"/>
      <c r="AY65" s="12"/>
      <c r="AZ65" s="12"/>
      <c r="BA65" s="12"/>
      <c r="BB65" s="12"/>
      <c r="BO65" s="12"/>
      <c r="BP65" s="12"/>
      <c r="BQ65" s="12"/>
      <c r="BR65" s="12"/>
    </row>
    <row r="66">
      <c r="AB66" s="12"/>
      <c r="AC66" s="12"/>
      <c r="AD66" s="12"/>
      <c r="AE66" s="12"/>
      <c r="AF66" s="12"/>
      <c r="AY66" s="12"/>
      <c r="AZ66" s="12"/>
      <c r="BA66" s="12"/>
      <c r="BB66" s="12"/>
      <c r="BO66" s="12"/>
      <c r="BP66" s="12"/>
      <c r="BQ66" s="12"/>
      <c r="BR66" s="12"/>
    </row>
    <row r="67">
      <c r="AB67" s="12"/>
      <c r="AC67" s="12"/>
      <c r="AD67" s="12"/>
      <c r="AE67" s="12"/>
      <c r="AF67" s="12"/>
      <c r="AY67" s="12"/>
      <c r="AZ67" s="12"/>
      <c r="BA67" s="12"/>
      <c r="BB67" s="12"/>
      <c r="BO67" s="12"/>
      <c r="BP67" s="12"/>
      <c r="BQ67" s="12"/>
      <c r="BR67" s="12"/>
    </row>
    <row r="68">
      <c r="AB68" s="12"/>
      <c r="AC68" s="12"/>
      <c r="AD68" s="12"/>
      <c r="AE68" s="12"/>
      <c r="AF68" s="12"/>
      <c r="AY68" s="12"/>
      <c r="AZ68" s="12"/>
      <c r="BA68" s="12"/>
      <c r="BB68" s="12"/>
      <c r="BO68" s="12"/>
      <c r="BP68" s="12"/>
      <c r="BQ68" s="12"/>
      <c r="BR68" s="12"/>
    </row>
    <row r="69">
      <c r="AB69" s="12"/>
      <c r="AC69" s="12"/>
      <c r="AD69" s="12"/>
      <c r="AE69" s="12"/>
      <c r="AF69" s="12"/>
      <c r="AY69" s="12"/>
      <c r="AZ69" s="12"/>
      <c r="BA69" s="12"/>
      <c r="BB69" s="12"/>
      <c r="BO69" s="12"/>
      <c r="BP69" s="12"/>
      <c r="BQ69" s="12"/>
      <c r="BR69" s="12"/>
    </row>
    <row r="70">
      <c r="AB70" s="12"/>
      <c r="AC70" s="12"/>
      <c r="AD70" s="12"/>
      <c r="AE70" s="12"/>
      <c r="AF70" s="12"/>
      <c r="AY70" s="12"/>
      <c r="AZ70" s="12"/>
      <c r="BA70" s="12"/>
      <c r="BB70" s="12"/>
      <c r="BO70" s="12"/>
      <c r="BP70" s="12"/>
      <c r="BQ70" s="12"/>
      <c r="BR70" s="12"/>
    </row>
    <row r="71">
      <c r="AB71" s="12"/>
      <c r="AC71" s="12"/>
      <c r="AD71" s="12"/>
      <c r="AE71" s="12"/>
      <c r="AF71" s="12"/>
      <c r="AY71" s="12"/>
      <c r="AZ71" s="12"/>
      <c r="BA71" s="12"/>
      <c r="BB71" s="12"/>
      <c r="BO71" s="12"/>
      <c r="BP71" s="12"/>
      <c r="BQ71" s="12"/>
      <c r="BR71" s="12"/>
    </row>
    <row r="72">
      <c r="AB72" s="12"/>
      <c r="AC72" s="12"/>
      <c r="AD72" s="12"/>
      <c r="AE72" s="12"/>
      <c r="AF72" s="12"/>
      <c r="AY72" s="12"/>
      <c r="AZ72" s="12"/>
      <c r="BA72" s="12"/>
      <c r="BB72" s="12"/>
      <c r="BO72" s="12"/>
      <c r="BP72" s="12"/>
      <c r="BQ72" s="12"/>
      <c r="BR72" s="12"/>
    </row>
    <row r="73">
      <c r="AB73" s="12"/>
      <c r="AC73" s="12"/>
      <c r="AD73" s="12"/>
      <c r="AE73" s="12"/>
      <c r="AF73" s="12"/>
      <c r="AY73" s="12"/>
      <c r="AZ73" s="12"/>
      <c r="BA73" s="12"/>
      <c r="BB73" s="12"/>
      <c r="BO73" s="12"/>
      <c r="BP73" s="12"/>
      <c r="BQ73" s="12"/>
      <c r="BR73" s="12"/>
    </row>
    <row r="74">
      <c r="AB74" s="12"/>
      <c r="AC74" s="12"/>
      <c r="AD74" s="12"/>
      <c r="AE74" s="12"/>
      <c r="AF74" s="12"/>
      <c r="AY74" s="12"/>
      <c r="AZ74" s="12"/>
      <c r="BA74" s="12"/>
      <c r="BB74" s="12"/>
      <c r="BO74" s="12"/>
      <c r="BP74" s="12"/>
      <c r="BQ74" s="12"/>
      <c r="BR74" s="12"/>
    </row>
    <row r="75">
      <c r="AB75" s="12"/>
      <c r="AC75" s="12"/>
      <c r="AD75" s="12"/>
      <c r="AE75" s="12"/>
      <c r="AF75" s="12"/>
      <c r="AY75" s="12"/>
      <c r="AZ75" s="12"/>
      <c r="BA75" s="12"/>
      <c r="BB75" s="12"/>
      <c r="BO75" s="12"/>
      <c r="BP75" s="12"/>
      <c r="BQ75" s="12"/>
      <c r="BR75" s="12"/>
    </row>
    <row r="76">
      <c r="AB76" s="12"/>
      <c r="AC76" s="12"/>
      <c r="AD76" s="12"/>
      <c r="AE76" s="12"/>
      <c r="AF76" s="12"/>
      <c r="AY76" s="12"/>
      <c r="AZ76" s="12"/>
      <c r="BA76" s="12"/>
      <c r="BB76" s="12"/>
      <c r="BO76" s="12"/>
      <c r="BP76" s="12"/>
      <c r="BQ76" s="12"/>
      <c r="BR76" s="12"/>
    </row>
    <row r="77">
      <c r="AB77" s="12"/>
      <c r="AC77" s="12"/>
      <c r="AD77" s="12"/>
      <c r="AE77" s="12"/>
      <c r="AF77" s="12"/>
      <c r="AY77" s="12"/>
      <c r="AZ77" s="12"/>
      <c r="BA77" s="12"/>
      <c r="BB77" s="12"/>
      <c r="BO77" s="12"/>
      <c r="BP77" s="12"/>
      <c r="BQ77" s="12"/>
      <c r="BR77" s="12"/>
    </row>
    <row r="78">
      <c r="AB78" s="12"/>
      <c r="AC78" s="12"/>
      <c r="AD78" s="12"/>
      <c r="AE78" s="12"/>
      <c r="AF78" s="12"/>
      <c r="AY78" s="12"/>
      <c r="AZ78" s="12"/>
      <c r="BA78" s="12"/>
      <c r="BB78" s="12"/>
      <c r="BO78" s="12"/>
      <c r="BP78" s="12"/>
      <c r="BQ78" s="12"/>
      <c r="BR78" s="12"/>
    </row>
    <row r="79">
      <c r="AB79" s="12"/>
      <c r="AC79" s="12"/>
      <c r="AD79" s="12"/>
      <c r="AE79" s="12"/>
      <c r="AF79" s="12"/>
      <c r="AY79" s="12"/>
      <c r="AZ79" s="12"/>
      <c r="BA79" s="12"/>
      <c r="BB79" s="12"/>
      <c r="BO79" s="12"/>
      <c r="BP79" s="12"/>
      <c r="BQ79" s="12"/>
      <c r="BR79" s="12"/>
    </row>
    <row r="80">
      <c r="AB80" s="12"/>
      <c r="AC80" s="12"/>
      <c r="AD80" s="12"/>
      <c r="AE80" s="12"/>
      <c r="AF80" s="12"/>
      <c r="AY80" s="12"/>
      <c r="AZ80" s="12"/>
      <c r="BA80" s="12"/>
      <c r="BB80" s="12"/>
      <c r="BO80" s="12"/>
      <c r="BP80" s="12"/>
      <c r="BQ80" s="12"/>
      <c r="BR80" s="12"/>
    </row>
    <row r="81">
      <c r="AB81" s="12"/>
      <c r="AC81" s="12"/>
      <c r="AD81" s="12"/>
      <c r="AE81" s="12"/>
      <c r="AF81" s="12"/>
      <c r="AY81" s="12"/>
      <c r="AZ81" s="12"/>
      <c r="BA81" s="12"/>
      <c r="BB81" s="12"/>
      <c r="BO81" s="12"/>
      <c r="BP81" s="12"/>
      <c r="BQ81" s="12"/>
      <c r="BR81" s="12"/>
    </row>
    <row r="82">
      <c r="AB82" s="12"/>
      <c r="AC82" s="12"/>
      <c r="AD82" s="12"/>
      <c r="AE82" s="12"/>
      <c r="AF82" s="12"/>
      <c r="AY82" s="12"/>
      <c r="AZ82" s="12"/>
      <c r="BA82" s="12"/>
      <c r="BB82" s="12"/>
      <c r="BO82" s="12"/>
      <c r="BP82" s="12"/>
      <c r="BQ82" s="12"/>
      <c r="BR82" s="12"/>
    </row>
    <row r="83">
      <c r="AB83" s="12"/>
      <c r="AC83" s="12"/>
      <c r="AD83" s="12"/>
      <c r="AE83" s="12"/>
      <c r="AF83" s="12"/>
      <c r="AY83" s="12"/>
      <c r="AZ83" s="12"/>
      <c r="BA83" s="12"/>
      <c r="BB83" s="12"/>
      <c r="BO83" s="12"/>
      <c r="BP83" s="12"/>
      <c r="BQ83" s="12"/>
      <c r="BR83" s="12"/>
    </row>
    <row r="84">
      <c r="AB84" s="12"/>
      <c r="AC84" s="12"/>
      <c r="AD84" s="12"/>
      <c r="AE84" s="12"/>
      <c r="AF84" s="12"/>
      <c r="AY84" s="12"/>
      <c r="AZ84" s="12"/>
      <c r="BA84" s="12"/>
      <c r="BB84" s="12"/>
      <c r="BO84" s="12"/>
      <c r="BP84" s="12"/>
      <c r="BQ84" s="12"/>
      <c r="BR84" s="12"/>
    </row>
    <row r="85">
      <c r="AB85" s="12"/>
      <c r="AC85" s="12"/>
      <c r="AD85" s="12"/>
      <c r="AE85" s="12"/>
      <c r="AF85" s="12"/>
      <c r="AY85" s="12"/>
      <c r="AZ85" s="12"/>
      <c r="BA85" s="12"/>
      <c r="BB85" s="12"/>
      <c r="BO85" s="12"/>
      <c r="BP85" s="12"/>
      <c r="BQ85" s="12"/>
      <c r="BR85" s="12"/>
    </row>
    <row r="86">
      <c r="AB86" s="12"/>
      <c r="AC86" s="12"/>
      <c r="AD86" s="12"/>
      <c r="AE86" s="12"/>
      <c r="AF86" s="12"/>
      <c r="AY86" s="12"/>
      <c r="AZ86" s="12"/>
      <c r="BA86" s="12"/>
      <c r="BB86" s="12"/>
      <c r="BO86" s="12"/>
      <c r="BP86" s="12"/>
      <c r="BQ86" s="12"/>
      <c r="BR86" s="12"/>
    </row>
    <row r="87">
      <c r="AB87" s="12"/>
      <c r="AC87" s="12"/>
      <c r="AD87" s="12"/>
      <c r="AE87" s="12"/>
      <c r="AF87" s="12"/>
      <c r="AY87" s="12"/>
      <c r="AZ87" s="12"/>
      <c r="BA87" s="12"/>
      <c r="BB87" s="12"/>
      <c r="BO87" s="12"/>
      <c r="BP87" s="12"/>
      <c r="BQ87" s="12"/>
      <c r="BR87" s="12"/>
    </row>
    <row r="88">
      <c r="AB88" s="12"/>
      <c r="AC88" s="12"/>
      <c r="AD88" s="12"/>
      <c r="AE88" s="12"/>
      <c r="AF88" s="12"/>
      <c r="AY88" s="12"/>
      <c r="AZ88" s="12"/>
      <c r="BA88" s="12"/>
      <c r="BB88" s="12"/>
      <c r="BO88" s="12"/>
      <c r="BP88" s="12"/>
      <c r="BQ88" s="12"/>
      <c r="BR88" s="12"/>
    </row>
    <row r="89">
      <c r="AB89" s="12"/>
      <c r="AC89" s="12"/>
      <c r="AD89" s="12"/>
      <c r="AE89" s="12"/>
      <c r="AF89" s="12"/>
      <c r="AY89" s="12"/>
      <c r="AZ89" s="12"/>
      <c r="BA89" s="12"/>
      <c r="BB89" s="12"/>
      <c r="BO89" s="12"/>
      <c r="BP89" s="12"/>
      <c r="BQ89" s="12"/>
      <c r="BR89" s="12"/>
    </row>
    <row r="90">
      <c r="AB90" s="12"/>
      <c r="AC90" s="12"/>
      <c r="AD90" s="12"/>
      <c r="AE90" s="12"/>
      <c r="AF90" s="12"/>
      <c r="AY90" s="12"/>
      <c r="AZ90" s="12"/>
      <c r="BA90" s="12"/>
      <c r="BB90" s="12"/>
      <c r="BO90" s="12"/>
      <c r="BP90" s="12"/>
      <c r="BQ90" s="12"/>
      <c r="BR90" s="12"/>
    </row>
    <row r="91">
      <c r="AB91" s="12"/>
      <c r="AC91" s="12"/>
      <c r="AD91" s="12"/>
      <c r="AE91" s="12"/>
      <c r="AF91" s="12"/>
      <c r="AY91" s="12"/>
      <c r="AZ91" s="12"/>
      <c r="BA91" s="12"/>
      <c r="BB91" s="12"/>
      <c r="BO91" s="12"/>
      <c r="BP91" s="12"/>
      <c r="BQ91" s="12"/>
      <c r="BR91" s="12"/>
    </row>
    <row r="92">
      <c r="AB92" s="12"/>
      <c r="AC92" s="12"/>
      <c r="AD92" s="12"/>
      <c r="AE92" s="12"/>
      <c r="AF92" s="12"/>
      <c r="AY92" s="12"/>
      <c r="AZ92" s="12"/>
      <c r="BA92" s="12"/>
      <c r="BB92" s="12"/>
      <c r="BO92" s="12"/>
      <c r="BP92" s="12"/>
      <c r="BQ92" s="12"/>
      <c r="BR92" s="12"/>
    </row>
    <row r="93">
      <c r="AB93" s="12"/>
      <c r="AC93" s="12"/>
      <c r="AD93" s="12"/>
      <c r="AE93" s="12"/>
      <c r="AF93" s="12"/>
      <c r="AY93" s="12"/>
      <c r="AZ93" s="12"/>
      <c r="BA93" s="12"/>
      <c r="BB93" s="12"/>
      <c r="BO93" s="12"/>
      <c r="BP93" s="12"/>
      <c r="BQ93" s="12"/>
      <c r="BR93" s="12"/>
    </row>
    <row r="94">
      <c r="AB94" s="12"/>
      <c r="AC94" s="12"/>
      <c r="AD94" s="12"/>
      <c r="AE94" s="12"/>
      <c r="AF94" s="12"/>
      <c r="AY94" s="12"/>
      <c r="AZ94" s="12"/>
      <c r="BA94" s="12"/>
      <c r="BB94" s="12"/>
      <c r="BO94" s="12"/>
      <c r="BP94" s="12"/>
      <c r="BQ94" s="12"/>
      <c r="BR94" s="12"/>
    </row>
    <row r="95">
      <c r="AB95" s="12"/>
      <c r="AC95" s="12"/>
      <c r="AD95" s="12"/>
      <c r="AE95" s="12"/>
      <c r="AF95" s="12"/>
      <c r="AY95" s="12"/>
      <c r="AZ95" s="12"/>
      <c r="BA95" s="12"/>
      <c r="BB95" s="12"/>
      <c r="BO95" s="12"/>
      <c r="BP95" s="12"/>
      <c r="BQ95" s="12"/>
      <c r="BR95" s="12"/>
    </row>
    <row r="96">
      <c r="AB96" s="12"/>
      <c r="AC96" s="12"/>
      <c r="AD96" s="12"/>
      <c r="AE96" s="12"/>
      <c r="AF96" s="12"/>
      <c r="AY96" s="12"/>
      <c r="AZ96" s="12"/>
      <c r="BA96" s="12"/>
      <c r="BB96" s="12"/>
      <c r="BO96" s="12"/>
      <c r="BP96" s="12"/>
      <c r="BQ96" s="12"/>
      <c r="BR96" s="12"/>
    </row>
    <row r="97">
      <c r="AB97" s="12"/>
      <c r="AC97" s="12"/>
      <c r="AD97" s="12"/>
      <c r="AE97" s="12"/>
      <c r="AF97" s="12"/>
      <c r="AY97" s="12"/>
      <c r="AZ97" s="12"/>
      <c r="BA97" s="12"/>
      <c r="BB97" s="12"/>
      <c r="BO97" s="12"/>
      <c r="BP97" s="12"/>
      <c r="BQ97" s="12"/>
      <c r="BR97" s="12"/>
    </row>
    <row r="98">
      <c r="AB98" s="12"/>
      <c r="AC98" s="12"/>
      <c r="AD98" s="12"/>
      <c r="AE98" s="12"/>
      <c r="AF98" s="12"/>
      <c r="AY98" s="12"/>
      <c r="AZ98" s="12"/>
      <c r="BA98" s="12"/>
      <c r="BB98" s="12"/>
      <c r="BO98" s="12"/>
      <c r="BP98" s="12"/>
      <c r="BQ98" s="12"/>
      <c r="BR98" s="12"/>
    </row>
    <row r="99">
      <c r="AB99" s="12"/>
      <c r="AC99" s="12"/>
      <c r="AD99" s="12"/>
      <c r="AE99" s="12"/>
      <c r="AF99" s="12"/>
      <c r="AY99" s="12"/>
      <c r="AZ99" s="12"/>
      <c r="BA99" s="12"/>
      <c r="BB99" s="12"/>
      <c r="BO99" s="12"/>
      <c r="BP99" s="12"/>
      <c r="BQ99" s="12"/>
      <c r="BR99" s="12"/>
    </row>
    <row r="100">
      <c r="AB100" s="12"/>
      <c r="AC100" s="12"/>
      <c r="AD100" s="12"/>
      <c r="AE100" s="12"/>
      <c r="AF100" s="12"/>
      <c r="AY100" s="12"/>
      <c r="AZ100" s="12"/>
      <c r="BA100" s="12"/>
      <c r="BB100" s="12"/>
      <c r="BO100" s="12"/>
      <c r="BP100" s="12"/>
      <c r="BQ100" s="12"/>
      <c r="BR100" s="12"/>
    </row>
    <row r="101">
      <c r="AB101" s="12"/>
      <c r="AC101" s="12"/>
      <c r="AD101" s="12"/>
      <c r="AE101" s="12"/>
      <c r="AF101" s="12"/>
      <c r="AY101" s="12"/>
      <c r="AZ101" s="12"/>
      <c r="BA101" s="12"/>
      <c r="BB101" s="12"/>
      <c r="BO101" s="12"/>
      <c r="BP101" s="12"/>
      <c r="BQ101" s="12"/>
      <c r="BR101" s="12"/>
    </row>
    <row r="102">
      <c r="AB102" s="12"/>
      <c r="AC102" s="12"/>
      <c r="AD102" s="12"/>
      <c r="AE102" s="12"/>
      <c r="AF102" s="12"/>
      <c r="AY102" s="12"/>
      <c r="AZ102" s="12"/>
      <c r="BA102" s="12"/>
      <c r="BB102" s="12"/>
      <c r="BO102" s="12"/>
      <c r="BP102" s="12"/>
      <c r="BQ102" s="12"/>
      <c r="BR102" s="12"/>
    </row>
    <row r="103">
      <c r="AB103" s="12"/>
      <c r="AC103" s="12"/>
      <c r="AD103" s="12"/>
      <c r="AE103" s="12"/>
      <c r="AF103" s="12"/>
      <c r="AY103" s="12"/>
      <c r="AZ103" s="12"/>
      <c r="BA103" s="12"/>
      <c r="BB103" s="12"/>
      <c r="BO103" s="12"/>
      <c r="BP103" s="12"/>
      <c r="BQ103" s="12"/>
      <c r="BR103" s="12"/>
    </row>
    <row r="104">
      <c r="AB104" s="12"/>
      <c r="AC104" s="12"/>
      <c r="AD104" s="12"/>
      <c r="AE104" s="12"/>
      <c r="AF104" s="12"/>
      <c r="AY104" s="12"/>
      <c r="AZ104" s="12"/>
      <c r="BA104" s="12"/>
      <c r="BB104" s="12"/>
      <c r="BO104" s="12"/>
      <c r="BP104" s="12"/>
      <c r="BQ104" s="12"/>
      <c r="BR104" s="12"/>
    </row>
    <row r="105">
      <c r="AB105" s="12"/>
      <c r="AC105" s="12"/>
      <c r="AD105" s="12"/>
      <c r="AE105" s="12"/>
      <c r="AF105" s="12"/>
      <c r="AY105" s="12"/>
      <c r="AZ105" s="12"/>
      <c r="BA105" s="12"/>
      <c r="BB105" s="12"/>
      <c r="BO105" s="12"/>
      <c r="BP105" s="12"/>
      <c r="BQ105" s="12"/>
      <c r="BR105" s="12"/>
    </row>
    <row r="106">
      <c r="AB106" s="12"/>
      <c r="AC106" s="12"/>
      <c r="AD106" s="12"/>
      <c r="AE106" s="12"/>
      <c r="AF106" s="12"/>
      <c r="AY106" s="12"/>
      <c r="AZ106" s="12"/>
      <c r="BA106" s="12"/>
      <c r="BB106" s="12"/>
      <c r="BO106" s="12"/>
      <c r="BP106" s="12"/>
      <c r="BQ106" s="12"/>
      <c r="BR106" s="12"/>
    </row>
    <row r="107">
      <c r="AB107" s="12"/>
      <c r="AC107" s="12"/>
      <c r="AD107" s="12"/>
      <c r="AE107" s="12"/>
      <c r="AF107" s="12"/>
      <c r="AY107" s="12"/>
      <c r="AZ107" s="12"/>
      <c r="BA107" s="12"/>
      <c r="BB107" s="12"/>
      <c r="BO107" s="12"/>
      <c r="BP107" s="12"/>
      <c r="BQ107" s="12"/>
      <c r="BR107" s="12"/>
    </row>
    <row r="108">
      <c r="AB108" s="12"/>
      <c r="AC108" s="12"/>
      <c r="AD108" s="12"/>
      <c r="AE108" s="12"/>
      <c r="AF108" s="12"/>
      <c r="AY108" s="12"/>
      <c r="AZ108" s="12"/>
      <c r="BA108" s="12"/>
      <c r="BB108" s="12"/>
      <c r="BO108" s="12"/>
      <c r="BP108" s="12"/>
      <c r="BQ108" s="12"/>
      <c r="BR108" s="12"/>
    </row>
    <row r="109">
      <c r="AB109" s="12"/>
      <c r="AC109" s="12"/>
      <c r="AD109" s="12"/>
      <c r="AE109" s="12"/>
      <c r="AF109" s="12"/>
      <c r="AY109" s="12"/>
      <c r="AZ109" s="12"/>
      <c r="BA109" s="12"/>
      <c r="BB109" s="12"/>
      <c r="BO109" s="12"/>
      <c r="BP109" s="12"/>
      <c r="BQ109" s="12"/>
      <c r="BR109" s="12"/>
    </row>
    <row r="110">
      <c r="AB110" s="12"/>
      <c r="AC110" s="12"/>
      <c r="AD110" s="12"/>
      <c r="AE110" s="12"/>
      <c r="AF110" s="12"/>
      <c r="AY110" s="12"/>
      <c r="AZ110" s="12"/>
      <c r="BA110" s="12"/>
      <c r="BB110" s="12"/>
      <c r="BO110" s="12"/>
      <c r="BP110" s="12"/>
      <c r="BQ110" s="12"/>
      <c r="BR110" s="12"/>
    </row>
    <row r="111">
      <c r="AB111" s="12"/>
      <c r="AC111" s="12"/>
      <c r="AD111" s="12"/>
      <c r="AE111" s="12"/>
      <c r="AF111" s="12"/>
      <c r="AY111" s="12"/>
      <c r="AZ111" s="12"/>
      <c r="BA111" s="12"/>
      <c r="BB111" s="12"/>
      <c r="BO111" s="12"/>
      <c r="BP111" s="12"/>
      <c r="BQ111" s="12"/>
      <c r="BR111" s="12"/>
    </row>
    <row r="112">
      <c r="AB112" s="12"/>
      <c r="AC112" s="12"/>
      <c r="AD112" s="12"/>
      <c r="AE112" s="12"/>
      <c r="AF112" s="12"/>
      <c r="AY112" s="12"/>
      <c r="AZ112" s="12"/>
      <c r="BA112" s="12"/>
      <c r="BB112" s="12"/>
      <c r="BO112" s="12"/>
      <c r="BP112" s="12"/>
      <c r="BQ112" s="12"/>
      <c r="BR112" s="12"/>
    </row>
    <row r="113">
      <c r="AB113" s="12"/>
      <c r="AC113" s="12"/>
      <c r="AD113" s="12"/>
      <c r="AE113" s="12"/>
      <c r="AF113" s="12"/>
      <c r="AY113" s="12"/>
      <c r="AZ113" s="12"/>
      <c r="BA113" s="12"/>
      <c r="BB113" s="12"/>
      <c r="BO113" s="12"/>
      <c r="BP113" s="12"/>
      <c r="BQ113" s="12"/>
      <c r="BR113" s="12"/>
    </row>
    <row r="114">
      <c r="AB114" s="12"/>
      <c r="AC114" s="12"/>
      <c r="AD114" s="12"/>
      <c r="AE114" s="12"/>
      <c r="AF114" s="12"/>
      <c r="AY114" s="12"/>
      <c r="AZ114" s="12"/>
      <c r="BA114" s="12"/>
      <c r="BB114" s="12"/>
      <c r="BO114" s="12"/>
      <c r="BP114" s="12"/>
      <c r="BQ114" s="12"/>
      <c r="BR114" s="12"/>
    </row>
    <row r="115">
      <c r="AB115" s="12"/>
      <c r="AC115" s="12"/>
      <c r="AD115" s="12"/>
      <c r="AE115" s="12"/>
      <c r="AF115" s="12"/>
      <c r="AY115" s="12"/>
      <c r="AZ115" s="12"/>
      <c r="BA115" s="12"/>
      <c r="BB115" s="12"/>
      <c r="BO115" s="12"/>
      <c r="BP115" s="12"/>
      <c r="BQ115" s="12"/>
      <c r="BR115" s="12"/>
    </row>
    <row r="116">
      <c r="AB116" s="12"/>
      <c r="AC116" s="12"/>
      <c r="AD116" s="12"/>
      <c r="AE116" s="12"/>
      <c r="AF116" s="12"/>
      <c r="AY116" s="12"/>
      <c r="AZ116" s="12"/>
      <c r="BA116" s="12"/>
      <c r="BB116" s="12"/>
      <c r="BO116" s="12"/>
      <c r="BP116" s="12"/>
      <c r="BQ116" s="12"/>
      <c r="BR116" s="12"/>
    </row>
    <row r="117">
      <c r="AB117" s="12"/>
      <c r="AC117" s="12"/>
      <c r="AD117" s="12"/>
      <c r="AE117" s="12"/>
      <c r="AF117" s="12"/>
      <c r="AY117" s="12"/>
      <c r="AZ117" s="12"/>
      <c r="BA117" s="12"/>
      <c r="BB117" s="12"/>
      <c r="BO117" s="12"/>
      <c r="BP117" s="12"/>
      <c r="BQ117" s="12"/>
      <c r="BR117" s="12"/>
    </row>
    <row r="118">
      <c r="AB118" s="12"/>
      <c r="AC118" s="12"/>
      <c r="AD118" s="12"/>
      <c r="AE118" s="12"/>
      <c r="AF118" s="12"/>
      <c r="AY118" s="12"/>
      <c r="AZ118" s="12"/>
      <c r="BA118" s="12"/>
      <c r="BB118" s="12"/>
      <c r="BO118" s="12"/>
      <c r="BP118" s="12"/>
      <c r="BQ118" s="12"/>
      <c r="BR118" s="12"/>
    </row>
    <row r="119">
      <c r="AB119" s="12"/>
      <c r="AC119" s="12"/>
      <c r="AD119" s="12"/>
      <c r="AE119" s="12"/>
      <c r="AF119" s="12"/>
      <c r="AY119" s="12"/>
      <c r="AZ119" s="12"/>
      <c r="BA119" s="12"/>
      <c r="BB119" s="12"/>
      <c r="BO119" s="12"/>
      <c r="BP119" s="12"/>
      <c r="BQ119" s="12"/>
      <c r="BR119" s="12"/>
    </row>
    <row r="120">
      <c r="AB120" s="12"/>
      <c r="AC120" s="12"/>
      <c r="AD120" s="12"/>
      <c r="AE120" s="12"/>
      <c r="AF120" s="12"/>
      <c r="AY120" s="12"/>
      <c r="AZ120" s="12"/>
      <c r="BA120" s="12"/>
      <c r="BB120" s="12"/>
      <c r="BO120" s="12"/>
      <c r="BP120" s="12"/>
      <c r="BQ120" s="12"/>
      <c r="BR120" s="12"/>
    </row>
    <row r="121">
      <c r="AB121" s="12"/>
      <c r="AC121" s="12"/>
      <c r="AD121" s="12"/>
      <c r="AE121" s="12"/>
      <c r="AF121" s="12"/>
      <c r="AY121" s="12"/>
      <c r="AZ121" s="12"/>
      <c r="BA121" s="12"/>
      <c r="BB121" s="12"/>
      <c r="BO121" s="12"/>
      <c r="BP121" s="12"/>
      <c r="BQ121" s="12"/>
      <c r="BR121" s="12"/>
    </row>
    <row r="122">
      <c r="AB122" s="12"/>
      <c r="AC122" s="12"/>
      <c r="AD122" s="12"/>
      <c r="AE122" s="12"/>
      <c r="AF122" s="12"/>
      <c r="AY122" s="12"/>
      <c r="AZ122" s="12"/>
      <c r="BA122" s="12"/>
      <c r="BB122" s="12"/>
      <c r="BO122" s="12"/>
      <c r="BP122" s="12"/>
      <c r="BQ122" s="12"/>
      <c r="BR122" s="12"/>
    </row>
    <row r="123">
      <c r="AB123" s="12"/>
      <c r="AC123" s="12"/>
      <c r="AD123" s="12"/>
      <c r="AE123" s="12"/>
      <c r="AF123" s="12"/>
      <c r="AY123" s="12"/>
      <c r="AZ123" s="12"/>
      <c r="BA123" s="12"/>
      <c r="BB123" s="12"/>
      <c r="BO123" s="12"/>
      <c r="BP123" s="12"/>
      <c r="BQ123" s="12"/>
      <c r="BR123" s="12"/>
    </row>
    <row r="124">
      <c r="AB124" s="12"/>
      <c r="AC124" s="12"/>
      <c r="AD124" s="12"/>
      <c r="AE124" s="12"/>
      <c r="AF124" s="12"/>
      <c r="AY124" s="12"/>
      <c r="AZ124" s="12"/>
      <c r="BA124" s="12"/>
      <c r="BB124" s="12"/>
      <c r="BO124" s="12"/>
      <c r="BP124" s="12"/>
      <c r="BQ124" s="12"/>
      <c r="BR124" s="12"/>
    </row>
    <row r="125">
      <c r="AB125" s="12"/>
      <c r="AC125" s="12"/>
      <c r="AD125" s="12"/>
      <c r="AE125" s="12"/>
      <c r="AF125" s="12"/>
      <c r="AY125" s="12"/>
      <c r="AZ125" s="12"/>
      <c r="BA125" s="12"/>
      <c r="BB125" s="12"/>
      <c r="BO125" s="12"/>
      <c r="BP125" s="12"/>
      <c r="BQ125" s="12"/>
      <c r="BR125" s="12"/>
    </row>
    <row r="126">
      <c r="AB126" s="12"/>
      <c r="AC126" s="12"/>
      <c r="AD126" s="12"/>
      <c r="AE126" s="12"/>
      <c r="AF126" s="12"/>
      <c r="AY126" s="12"/>
      <c r="AZ126" s="12"/>
      <c r="BA126" s="12"/>
      <c r="BB126" s="12"/>
      <c r="BO126" s="12"/>
      <c r="BP126" s="12"/>
      <c r="BQ126" s="12"/>
      <c r="BR126" s="12"/>
    </row>
    <row r="127">
      <c r="AB127" s="12"/>
      <c r="AC127" s="12"/>
      <c r="AD127" s="12"/>
      <c r="AE127" s="12"/>
      <c r="AF127" s="12"/>
      <c r="AY127" s="12"/>
      <c r="AZ127" s="12"/>
      <c r="BA127" s="12"/>
      <c r="BB127" s="12"/>
      <c r="BO127" s="12"/>
      <c r="BP127" s="12"/>
      <c r="BQ127" s="12"/>
      <c r="BR127" s="12"/>
    </row>
    <row r="128">
      <c r="AB128" s="12"/>
      <c r="AC128" s="12"/>
      <c r="AD128" s="12"/>
      <c r="AE128" s="12"/>
      <c r="AF128" s="12"/>
      <c r="AY128" s="12"/>
      <c r="AZ128" s="12"/>
      <c r="BA128" s="12"/>
      <c r="BB128" s="12"/>
      <c r="BO128" s="12"/>
      <c r="BP128" s="12"/>
      <c r="BQ128" s="12"/>
      <c r="BR128" s="12"/>
    </row>
    <row r="129">
      <c r="AB129" s="12"/>
      <c r="AC129" s="12"/>
      <c r="AD129" s="12"/>
      <c r="AE129" s="12"/>
      <c r="AF129" s="12"/>
      <c r="AY129" s="12"/>
      <c r="AZ129" s="12"/>
      <c r="BA129" s="12"/>
      <c r="BB129" s="12"/>
      <c r="BO129" s="12"/>
      <c r="BP129" s="12"/>
      <c r="BQ129" s="12"/>
      <c r="BR129" s="12"/>
    </row>
    <row r="130">
      <c r="AB130" s="12"/>
      <c r="AC130" s="12"/>
      <c r="AD130" s="12"/>
      <c r="AE130" s="12"/>
      <c r="AF130" s="12"/>
      <c r="AY130" s="12"/>
      <c r="AZ130" s="12"/>
      <c r="BA130" s="12"/>
      <c r="BB130" s="12"/>
      <c r="BO130" s="12"/>
      <c r="BP130" s="12"/>
      <c r="BQ130" s="12"/>
      <c r="BR130" s="12"/>
    </row>
    <row r="131">
      <c r="AB131" s="12"/>
      <c r="AC131" s="12"/>
      <c r="AD131" s="12"/>
      <c r="AE131" s="12"/>
      <c r="AF131" s="12"/>
      <c r="AY131" s="12"/>
      <c r="AZ131" s="12"/>
      <c r="BA131" s="12"/>
      <c r="BB131" s="12"/>
      <c r="BO131" s="12"/>
      <c r="BP131" s="12"/>
      <c r="BQ131" s="12"/>
      <c r="BR131" s="12"/>
    </row>
    <row r="132">
      <c r="AB132" s="12"/>
      <c r="AC132" s="12"/>
      <c r="AD132" s="12"/>
      <c r="AE132" s="12"/>
      <c r="AF132" s="12"/>
      <c r="AY132" s="12"/>
      <c r="AZ132" s="12"/>
      <c r="BA132" s="12"/>
      <c r="BB132" s="12"/>
      <c r="BO132" s="12"/>
      <c r="BP132" s="12"/>
      <c r="BQ132" s="12"/>
      <c r="BR132" s="12"/>
    </row>
    <row r="133">
      <c r="AB133" s="12"/>
      <c r="AC133" s="12"/>
      <c r="AD133" s="12"/>
      <c r="AE133" s="12"/>
      <c r="AF133" s="12"/>
      <c r="AY133" s="12"/>
      <c r="AZ133" s="12"/>
      <c r="BA133" s="12"/>
      <c r="BB133" s="12"/>
      <c r="BO133" s="12"/>
      <c r="BP133" s="12"/>
      <c r="BQ133" s="12"/>
      <c r="BR133" s="12"/>
    </row>
    <row r="134">
      <c r="AB134" s="12"/>
      <c r="AC134" s="12"/>
      <c r="AD134" s="12"/>
      <c r="AE134" s="12"/>
      <c r="AF134" s="12"/>
      <c r="AY134" s="12"/>
      <c r="AZ134" s="12"/>
      <c r="BA134" s="12"/>
      <c r="BB134" s="12"/>
      <c r="BO134" s="12"/>
      <c r="BP134" s="12"/>
      <c r="BQ134" s="12"/>
      <c r="BR134" s="12"/>
    </row>
    <row r="135">
      <c r="AB135" s="12"/>
      <c r="AC135" s="12"/>
      <c r="AD135" s="12"/>
      <c r="AE135" s="12"/>
      <c r="AF135" s="12"/>
      <c r="AY135" s="12"/>
      <c r="AZ135" s="12"/>
      <c r="BA135" s="12"/>
      <c r="BB135" s="12"/>
      <c r="BO135" s="12"/>
      <c r="BP135" s="12"/>
      <c r="BQ135" s="12"/>
      <c r="BR135" s="12"/>
    </row>
    <row r="136">
      <c r="AB136" s="12"/>
      <c r="AC136" s="12"/>
      <c r="AD136" s="12"/>
      <c r="AE136" s="12"/>
      <c r="AF136" s="12"/>
      <c r="AY136" s="12"/>
      <c r="AZ136" s="12"/>
      <c r="BA136" s="12"/>
      <c r="BB136" s="12"/>
      <c r="BO136" s="12"/>
      <c r="BP136" s="12"/>
      <c r="BQ136" s="12"/>
      <c r="BR136" s="12"/>
    </row>
    <row r="137">
      <c r="AB137" s="12"/>
      <c r="AC137" s="12"/>
      <c r="AD137" s="12"/>
      <c r="AE137" s="12"/>
      <c r="AF137" s="12"/>
      <c r="AY137" s="12"/>
      <c r="AZ137" s="12"/>
      <c r="BA137" s="12"/>
      <c r="BB137" s="12"/>
      <c r="BO137" s="12"/>
      <c r="BP137" s="12"/>
      <c r="BQ137" s="12"/>
      <c r="BR137" s="12"/>
    </row>
    <row r="138">
      <c r="AB138" s="12"/>
      <c r="AC138" s="12"/>
      <c r="AD138" s="12"/>
      <c r="AE138" s="12"/>
      <c r="AF138" s="12"/>
      <c r="AY138" s="12"/>
      <c r="AZ138" s="12"/>
      <c r="BA138" s="12"/>
      <c r="BB138" s="12"/>
      <c r="BO138" s="12"/>
      <c r="BP138" s="12"/>
      <c r="BQ138" s="12"/>
      <c r="BR138" s="12"/>
    </row>
    <row r="139">
      <c r="AB139" s="12"/>
      <c r="AC139" s="12"/>
      <c r="AD139" s="12"/>
      <c r="AE139" s="12"/>
      <c r="AF139" s="12"/>
      <c r="AY139" s="12"/>
      <c r="AZ139" s="12"/>
      <c r="BA139" s="12"/>
      <c r="BB139" s="12"/>
      <c r="BO139" s="12"/>
      <c r="BP139" s="12"/>
      <c r="BQ139" s="12"/>
      <c r="BR139" s="12"/>
    </row>
    <row r="140">
      <c r="AB140" s="12"/>
      <c r="AC140" s="12"/>
      <c r="AD140" s="12"/>
      <c r="AE140" s="12"/>
      <c r="AF140" s="12"/>
      <c r="AY140" s="12"/>
      <c r="AZ140" s="12"/>
      <c r="BA140" s="12"/>
      <c r="BB140" s="12"/>
      <c r="BO140" s="12"/>
      <c r="BP140" s="12"/>
      <c r="BQ140" s="12"/>
      <c r="BR140" s="12"/>
    </row>
    <row r="141">
      <c r="AB141" s="12"/>
      <c r="AC141" s="12"/>
      <c r="AD141" s="12"/>
      <c r="AE141" s="12"/>
      <c r="AF141" s="12"/>
      <c r="AY141" s="12"/>
      <c r="AZ141" s="12"/>
      <c r="BA141" s="12"/>
      <c r="BB141" s="12"/>
      <c r="BO141" s="12"/>
      <c r="BP141" s="12"/>
      <c r="BQ141" s="12"/>
      <c r="BR141" s="12"/>
    </row>
    <row r="142">
      <c r="AB142" s="12"/>
      <c r="AC142" s="12"/>
      <c r="AD142" s="12"/>
      <c r="AE142" s="12"/>
      <c r="AF142" s="12"/>
      <c r="AY142" s="12"/>
      <c r="AZ142" s="12"/>
      <c r="BA142" s="12"/>
      <c r="BB142" s="12"/>
      <c r="BO142" s="12"/>
      <c r="BP142" s="12"/>
      <c r="BQ142" s="12"/>
      <c r="BR142" s="12"/>
    </row>
    <row r="143">
      <c r="AB143" s="12"/>
      <c r="AC143" s="12"/>
      <c r="AD143" s="12"/>
      <c r="AE143" s="12"/>
      <c r="AF143" s="12"/>
      <c r="AY143" s="12"/>
      <c r="AZ143" s="12"/>
      <c r="BA143" s="12"/>
      <c r="BB143" s="12"/>
      <c r="BO143" s="12"/>
      <c r="BP143" s="12"/>
      <c r="BQ143" s="12"/>
      <c r="BR143" s="12"/>
    </row>
    <row r="144">
      <c r="AB144" s="12"/>
      <c r="AC144" s="12"/>
      <c r="AD144" s="12"/>
      <c r="AE144" s="12"/>
      <c r="AF144" s="12"/>
      <c r="AY144" s="12"/>
      <c r="AZ144" s="12"/>
      <c r="BA144" s="12"/>
      <c r="BB144" s="12"/>
      <c r="BO144" s="12"/>
      <c r="BP144" s="12"/>
      <c r="BQ144" s="12"/>
      <c r="BR144" s="12"/>
    </row>
    <row r="145">
      <c r="AB145" s="12"/>
      <c r="AC145" s="12"/>
      <c r="AD145" s="12"/>
      <c r="AE145" s="12"/>
      <c r="AF145" s="12"/>
      <c r="AY145" s="12"/>
      <c r="AZ145" s="12"/>
      <c r="BA145" s="12"/>
      <c r="BB145" s="12"/>
      <c r="BO145" s="12"/>
      <c r="BP145" s="12"/>
      <c r="BQ145" s="12"/>
      <c r="BR145" s="12"/>
    </row>
    <row r="146">
      <c r="AB146" s="12"/>
      <c r="AC146" s="12"/>
      <c r="AD146" s="12"/>
      <c r="AE146" s="12"/>
      <c r="AF146" s="12"/>
      <c r="AY146" s="12"/>
      <c r="AZ146" s="12"/>
      <c r="BA146" s="12"/>
      <c r="BB146" s="12"/>
      <c r="BO146" s="12"/>
      <c r="BP146" s="12"/>
      <c r="BQ146" s="12"/>
      <c r="BR146" s="12"/>
    </row>
    <row r="147">
      <c r="AB147" s="12"/>
      <c r="AC147" s="12"/>
      <c r="AD147" s="12"/>
      <c r="AE147" s="12"/>
      <c r="AF147" s="12"/>
      <c r="AY147" s="12"/>
      <c r="AZ147" s="12"/>
      <c r="BA147" s="12"/>
      <c r="BB147" s="12"/>
      <c r="BO147" s="12"/>
      <c r="BP147" s="12"/>
      <c r="BQ147" s="12"/>
      <c r="BR147" s="12"/>
    </row>
    <row r="148">
      <c r="AB148" s="12"/>
      <c r="AC148" s="12"/>
      <c r="AD148" s="12"/>
      <c r="AE148" s="12"/>
      <c r="AF148" s="12"/>
      <c r="AY148" s="12"/>
      <c r="AZ148" s="12"/>
      <c r="BA148" s="12"/>
      <c r="BB148" s="12"/>
      <c r="BO148" s="12"/>
      <c r="BP148" s="12"/>
      <c r="BQ148" s="12"/>
      <c r="BR148" s="12"/>
    </row>
    <row r="149">
      <c r="AB149" s="12"/>
      <c r="AC149" s="12"/>
      <c r="AD149" s="12"/>
      <c r="AE149" s="12"/>
      <c r="AF149" s="12"/>
      <c r="AY149" s="12"/>
      <c r="AZ149" s="12"/>
      <c r="BA149" s="12"/>
      <c r="BB149" s="12"/>
      <c r="BO149" s="12"/>
      <c r="BP149" s="12"/>
      <c r="BQ149" s="12"/>
      <c r="BR149" s="12"/>
    </row>
    <row r="150">
      <c r="AB150" s="12"/>
      <c r="AC150" s="12"/>
      <c r="AD150" s="12"/>
      <c r="AE150" s="12"/>
      <c r="AF150" s="12"/>
      <c r="AY150" s="12"/>
      <c r="AZ150" s="12"/>
      <c r="BA150" s="12"/>
      <c r="BB150" s="12"/>
      <c r="BO150" s="12"/>
      <c r="BP150" s="12"/>
      <c r="BQ150" s="12"/>
      <c r="BR150" s="12"/>
    </row>
    <row r="151">
      <c r="AB151" s="12"/>
      <c r="AC151" s="12"/>
      <c r="AD151" s="12"/>
      <c r="AE151" s="12"/>
      <c r="AF151" s="12"/>
      <c r="AY151" s="12"/>
      <c r="AZ151" s="12"/>
      <c r="BA151" s="12"/>
      <c r="BB151" s="12"/>
      <c r="BO151" s="12"/>
      <c r="BP151" s="12"/>
      <c r="BQ151" s="12"/>
      <c r="BR151" s="12"/>
    </row>
    <row r="152">
      <c r="AB152" s="12"/>
      <c r="AC152" s="12"/>
      <c r="AD152" s="12"/>
      <c r="AE152" s="12"/>
      <c r="AF152" s="12"/>
      <c r="AY152" s="12"/>
      <c r="AZ152" s="12"/>
      <c r="BA152" s="12"/>
      <c r="BB152" s="12"/>
      <c r="BO152" s="12"/>
      <c r="BP152" s="12"/>
      <c r="BQ152" s="12"/>
      <c r="BR152" s="12"/>
    </row>
    <row r="153">
      <c r="AB153" s="12"/>
      <c r="AC153" s="12"/>
      <c r="AD153" s="12"/>
      <c r="AE153" s="12"/>
      <c r="AF153" s="12"/>
      <c r="AY153" s="12"/>
      <c r="AZ153" s="12"/>
      <c r="BA153" s="12"/>
      <c r="BB153" s="12"/>
      <c r="BO153" s="12"/>
      <c r="BP153" s="12"/>
      <c r="BQ153" s="12"/>
      <c r="BR153" s="12"/>
    </row>
    <row r="154">
      <c r="AB154" s="12"/>
      <c r="AC154" s="12"/>
      <c r="AD154" s="12"/>
      <c r="AE154" s="12"/>
      <c r="AF154" s="12"/>
      <c r="AY154" s="12"/>
      <c r="AZ154" s="12"/>
      <c r="BA154" s="12"/>
      <c r="BB154" s="12"/>
      <c r="BO154" s="12"/>
      <c r="BP154" s="12"/>
      <c r="BQ154" s="12"/>
      <c r="BR154" s="12"/>
    </row>
    <row r="155">
      <c r="AB155" s="12"/>
      <c r="AC155" s="12"/>
      <c r="AD155" s="12"/>
      <c r="AE155" s="12"/>
      <c r="AF155" s="12"/>
      <c r="AY155" s="12"/>
      <c r="AZ155" s="12"/>
      <c r="BA155" s="12"/>
      <c r="BB155" s="12"/>
      <c r="BO155" s="12"/>
      <c r="BP155" s="12"/>
      <c r="BQ155" s="12"/>
      <c r="BR155" s="12"/>
    </row>
    <row r="156">
      <c r="AB156" s="12"/>
      <c r="AC156" s="12"/>
      <c r="AD156" s="12"/>
      <c r="AE156" s="12"/>
      <c r="AF156" s="12"/>
      <c r="AY156" s="12"/>
      <c r="AZ156" s="12"/>
      <c r="BA156" s="12"/>
      <c r="BB156" s="12"/>
      <c r="BO156" s="12"/>
      <c r="BP156" s="12"/>
      <c r="BQ156" s="12"/>
      <c r="BR156" s="12"/>
    </row>
    <row r="157">
      <c r="AB157" s="12"/>
      <c r="AC157" s="12"/>
      <c r="AD157" s="12"/>
      <c r="AE157" s="12"/>
      <c r="AF157" s="12"/>
      <c r="AY157" s="12"/>
      <c r="AZ157" s="12"/>
      <c r="BA157" s="12"/>
      <c r="BB157" s="12"/>
      <c r="BO157" s="12"/>
      <c r="BP157" s="12"/>
      <c r="BQ157" s="12"/>
      <c r="BR157" s="12"/>
    </row>
    <row r="158">
      <c r="AB158" s="12"/>
      <c r="AC158" s="12"/>
      <c r="AD158" s="12"/>
      <c r="AE158" s="12"/>
      <c r="AF158" s="12"/>
      <c r="AY158" s="12"/>
      <c r="AZ158" s="12"/>
      <c r="BA158" s="12"/>
      <c r="BB158" s="12"/>
      <c r="BO158" s="12"/>
      <c r="BP158" s="12"/>
      <c r="BQ158" s="12"/>
      <c r="BR158" s="12"/>
    </row>
    <row r="159">
      <c r="AB159" s="12"/>
      <c r="AC159" s="12"/>
      <c r="AD159" s="12"/>
      <c r="AE159" s="12"/>
      <c r="AF159" s="12"/>
      <c r="AY159" s="12"/>
      <c r="AZ159" s="12"/>
      <c r="BA159" s="12"/>
      <c r="BB159" s="12"/>
      <c r="BO159" s="12"/>
      <c r="BP159" s="12"/>
      <c r="BQ159" s="12"/>
      <c r="BR159" s="12"/>
    </row>
    <row r="160">
      <c r="AB160" s="12"/>
      <c r="AC160" s="12"/>
      <c r="AD160" s="12"/>
      <c r="AE160" s="12"/>
      <c r="AF160" s="12"/>
      <c r="AY160" s="12"/>
      <c r="AZ160" s="12"/>
      <c r="BA160" s="12"/>
      <c r="BB160" s="12"/>
      <c r="BO160" s="12"/>
      <c r="BP160" s="12"/>
      <c r="BQ160" s="12"/>
      <c r="BR160" s="12"/>
    </row>
    <row r="161">
      <c r="AB161" s="12"/>
      <c r="AC161" s="12"/>
      <c r="AD161" s="12"/>
      <c r="AE161" s="12"/>
      <c r="AF161" s="12"/>
      <c r="AY161" s="12"/>
      <c r="AZ161" s="12"/>
      <c r="BA161" s="12"/>
      <c r="BB161" s="12"/>
      <c r="BO161" s="12"/>
      <c r="BP161" s="12"/>
      <c r="BQ161" s="12"/>
      <c r="BR161" s="12"/>
    </row>
    <row r="162">
      <c r="AB162" s="12"/>
      <c r="AC162" s="12"/>
      <c r="AD162" s="12"/>
      <c r="AE162" s="12"/>
      <c r="AF162" s="12"/>
      <c r="AY162" s="12"/>
      <c r="AZ162" s="12"/>
      <c r="BA162" s="12"/>
      <c r="BB162" s="12"/>
      <c r="BO162" s="12"/>
      <c r="BP162" s="12"/>
      <c r="BQ162" s="12"/>
      <c r="BR162" s="12"/>
    </row>
    <row r="163">
      <c r="AB163" s="12"/>
      <c r="AC163" s="12"/>
      <c r="AD163" s="12"/>
      <c r="AE163" s="12"/>
      <c r="AF163" s="12"/>
      <c r="AY163" s="12"/>
      <c r="AZ163" s="12"/>
      <c r="BA163" s="12"/>
      <c r="BB163" s="12"/>
      <c r="BO163" s="12"/>
      <c r="BP163" s="12"/>
      <c r="BQ163" s="12"/>
      <c r="BR163" s="12"/>
    </row>
    <row r="164">
      <c r="AB164" s="12"/>
      <c r="AC164" s="12"/>
      <c r="AD164" s="12"/>
      <c r="AE164" s="12"/>
      <c r="AF164" s="12"/>
      <c r="AY164" s="12"/>
      <c r="AZ164" s="12"/>
      <c r="BA164" s="12"/>
      <c r="BB164" s="12"/>
      <c r="BO164" s="12"/>
      <c r="BP164" s="12"/>
      <c r="BQ164" s="12"/>
      <c r="BR164" s="12"/>
    </row>
    <row r="165">
      <c r="AB165" s="12"/>
      <c r="AC165" s="12"/>
      <c r="AD165" s="12"/>
      <c r="AE165" s="12"/>
      <c r="AF165" s="12"/>
      <c r="AY165" s="12"/>
      <c r="AZ165" s="12"/>
      <c r="BA165" s="12"/>
      <c r="BB165" s="12"/>
      <c r="BO165" s="12"/>
      <c r="BP165" s="12"/>
      <c r="BQ165" s="12"/>
      <c r="BR165" s="12"/>
    </row>
    <row r="166">
      <c r="AB166" s="12"/>
      <c r="AC166" s="12"/>
      <c r="AD166" s="12"/>
      <c r="AE166" s="12"/>
      <c r="AF166" s="12"/>
      <c r="AY166" s="12"/>
      <c r="AZ166" s="12"/>
      <c r="BA166" s="12"/>
      <c r="BB166" s="12"/>
      <c r="BO166" s="12"/>
      <c r="BP166" s="12"/>
      <c r="BQ166" s="12"/>
      <c r="BR166" s="12"/>
    </row>
    <row r="167">
      <c r="AB167" s="12"/>
      <c r="AC167" s="12"/>
      <c r="AD167" s="12"/>
      <c r="AE167" s="12"/>
      <c r="AF167" s="12"/>
      <c r="AY167" s="12"/>
      <c r="AZ167" s="12"/>
      <c r="BA167" s="12"/>
      <c r="BB167" s="12"/>
      <c r="BO167" s="12"/>
      <c r="BP167" s="12"/>
      <c r="BQ167" s="12"/>
      <c r="BR167" s="12"/>
    </row>
    <row r="168">
      <c r="AB168" s="12"/>
      <c r="AC168" s="12"/>
      <c r="AD168" s="12"/>
      <c r="AE168" s="12"/>
      <c r="AF168" s="12"/>
      <c r="AY168" s="12"/>
      <c r="AZ168" s="12"/>
      <c r="BA168" s="12"/>
      <c r="BB168" s="12"/>
      <c r="BO168" s="12"/>
      <c r="BP168" s="12"/>
      <c r="BQ168" s="12"/>
      <c r="BR168" s="12"/>
    </row>
    <row r="169">
      <c r="AB169" s="12"/>
      <c r="AC169" s="12"/>
      <c r="AD169" s="12"/>
      <c r="AE169" s="12"/>
      <c r="AF169" s="12"/>
      <c r="AY169" s="12"/>
      <c r="AZ169" s="12"/>
      <c r="BA169" s="12"/>
      <c r="BB169" s="12"/>
      <c r="BO169" s="12"/>
      <c r="BP169" s="12"/>
      <c r="BQ169" s="12"/>
      <c r="BR169" s="12"/>
    </row>
    <row r="170">
      <c r="AB170" s="12"/>
      <c r="AC170" s="12"/>
      <c r="AD170" s="12"/>
      <c r="AE170" s="12"/>
      <c r="AF170" s="12"/>
      <c r="AY170" s="12"/>
      <c r="AZ170" s="12"/>
      <c r="BA170" s="12"/>
      <c r="BB170" s="12"/>
      <c r="BO170" s="12"/>
      <c r="BP170" s="12"/>
      <c r="BQ170" s="12"/>
      <c r="BR170" s="12"/>
    </row>
    <row r="171">
      <c r="AB171" s="12"/>
      <c r="AC171" s="12"/>
      <c r="AD171" s="12"/>
      <c r="AE171" s="12"/>
      <c r="AF171" s="12"/>
      <c r="AY171" s="12"/>
      <c r="AZ171" s="12"/>
      <c r="BA171" s="12"/>
      <c r="BB171" s="12"/>
      <c r="BO171" s="12"/>
      <c r="BP171" s="12"/>
      <c r="BQ171" s="12"/>
      <c r="BR171" s="12"/>
    </row>
    <row r="172">
      <c r="AB172" s="12"/>
      <c r="AC172" s="12"/>
      <c r="AD172" s="12"/>
      <c r="AE172" s="12"/>
      <c r="AF172" s="12"/>
      <c r="AY172" s="12"/>
      <c r="AZ172" s="12"/>
      <c r="BA172" s="12"/>
      <c r="BB172" s="12"/>
      <c r="BO172" s="12"/>
      <c r="BP172" s="12"/>
      <c r="BQ172" s="12"/>
      <c r="BR172" s="12"/>
    </row>
    <row r="173">
      <c r="AB173" s="12"/>
      <c r="AC173" s="12"/>
      <c r="AD173" s="12"/>
      <c r="AE173" s="12"/>
      <c r="AF173" s="12"/>
      <c r="AY173" s="12"/>
      <c r="AZ173" s="12"/>
      <c r="BA173" s="12"/>
      <c r="BB173" s="12"/>
      <c r="BO173" s="12"/>
      <c r="BP173" s="12"/>
      <c r="BQ173" s="12"/>
      <c r="BR173" s="12"/>
    </row>
    <row r="174">
      <c r="AB174" s="12"/>
      <c r="AC174" s="12"/>
      <c r="AD174" s="12"/>
      <c r="AE174" s="12"/>
      <c r="AF174" s="12"/>
      <c r="AY174" s="12"/>
      <c r="AZ174" s="12"/>
      <c r="BA174" s="12"/>
      <c r="BB174" s="12"/>
      <c r="BO174" s="12"/>
      <c r="BP174" s="12"/>
      <c r="BQ174" s="12"/>
      <c r="BR174" s="12"/>
    </row>
    <row r="175">
      <c r="AB175" s="12"/>
      <c r="AC175" s="12"/>
      <c r="AD175" s="12"/>
      <c r="AE175" s="12"/>
      <c r="AF175" s="12"/>
      <c r="AY175" s="12"/>
      <c r="AZ175" s="12"/>
      <c r="BA175" s="12"/>
      <c r="BB175" s="12"/>
      <c r="BO175" s="12"/>
      <c r="BP175" s="12"/>
      <c r="BQ175" s="12"/>
      <c r="BR175" s="12"/>
    </row>
    <row r="176">
      <c r="AB176" s="12"/>
      <c r="AC176" s="12"/>
      <c r="AD176" s="12"/>
      <c r="AE176" s="12"/>
      <c r="AF176" s="12"/>
      <c r="AY176" s="12"/>
      <c r="AZ176" s="12"/>
      <c r="BA176" s="12"/>
      <c r="BB176" s="12"/>
      <c r="BO176" s="12"/>
      <c r="BP176" s="12"/>
      <c r="BQ176" s="12"/>
      <c r="BR176" s="12"/>
    </row>
    <row r="177">
      <c r="AB177" s="12"/>
      <c r="AC177" s="12"/>
      <c r="AD177" s="12"/>
      <c r="AE177" s="12"/>
      <c r="AF177" s="12"/>
      <c r="AY177" s="12"/>
      <c r="AZ177" s="12"/>
      <c r="BA177" s="12"/>
      <c r="BB177" s="12"/>
      <c r="BO177" s="12"/>
      <c r="BP177" s="12"/>
      <c r="BQ177" s="12"/>
      <c r="BR177" s="12"/>
    </row>
    <row r="178">
      <c r="AB178" s="12"/>
      <c r="AC178" s="12"/>
      <c r="AD178" s="12"/>
      <c r="AE178" s="12"/>
      <c r="AF178" s="12"/>
      <c r="AY178" s="12"/>
      <c r="AZ178" s="12"/>
      <c r="BA178" s="12"/>
      <c r="BB178" s="12"/>
      <c r="BO178" s="12"/>
      <c r="BP178" s="12"/>
      <c r="BQ178" s="12"/>
      <c r="BR178" s="12"/>
    </row>
    <row r="179">
      <c r="AB179" s="12"/>
      <c r="AC179" s="12"/>
      <c r="AD179" s="12"/>
      <c r="AE179" s="12"/>
      <c r="AF179" s="12"/>
      <c r="AY179" s="12"/>
      <c r="AZ179" s="12"/>
      <c r="BA179" s="12"/>
      <c r="BB179" s="12"/>
      <c r="BO179" s="12"/>
      <c r="BP179" s="12"/>
      <c r="BQ179" s="12"/>
      <c r="BR179" s="12"/>
    </row>
    <row r="180">
      <c r="AB180" s="12"/>
      <c r="AC180" s="12"/>
      <c r="AD180" s="12"/>
      <c r="AE180" s="12"/>
      <c r="AF180" s="12"/>
      <c r="AY180" s="12"/>
      <c r="AZ180" s="12"/>
      <c r="BA180" s="12"/>
      <c r="BB180" s="12"/>
      <c r="BO180" s="12"/>
      <c r="BP180" s="12"/>
      <c r="BQ180" s="12"/>
      <c r="BR180" s="12"/>
    </row>
    <row r="181">
      <c r="AB181" s="12"/>
      <c r="AC181" s="12"/>
      <c r="AD181" s="12"/>
      <c r="AE181" s="12"/>
      <c r="AF181" s="12"/>
      <c r="AY181" s="12"/>
      <c r="AZ181" s="12"/>
      <c r="BA181" s="12"/>
      <c r="BB181" s="12"/>
      <c r="BO181" s="12"/>
      <c r="BP181" s="12"/>
      <c r="BQ181" s="12"/>
      <c r="BR181" s="12"/>
    </row>
    <row r="182">
      <c r="AB182" s="12"/>
      <c r="AC182" s="12"/>
      <c r="AD182" s="12"/>
      <c r="AE182" s="12"/>
      <c r="AF182" s="12"/>
      <c r="AY182" s="12"/>
      <c r="AZ182" s="12"/>
      <c r="BA182" s="12"/>
      <c r="BB182" s="12"/>
      <c r="BO182" s="12"/>
      <c r="BP182" s="12"/>
      <c r="BQ182" s="12"/>
      <c r="BR182" s="12"/>
    </row>
    <row r="183">
      <c r="AB183" s="12"/>
      <c r="AC183" s="12"/>
      <c r="AD183" s="12"/>
      <c r="AE183" s="12"/>
      <c r="AF183" s="12"/>
      <c r="AY183" s="12"/>
      <c r="AZ183" s="12"/>
      <c r="BA183" s="12"/>
      <c r="BB183" s="12"/>
      <c r="BO183" s="12"/>
      <c r="BP183" s="12"/>
      <c r="BQ183" s="12"/>
      <c r="BR183" s="12"/>
    </row>
    <row r="184">
      <c r="AB184" s="12"/>
      <c r="AC184" s="12"/>
      <c r="AD184" s="12"/>
      <c r="AE184" s="12"/>
      <c r="AF184" s="12"/>
      <c r="AY184" s="12"/>
      <c r="AZ184" s="12"/>
      <c r="BA184" s="12"/>
      <c r="BB184" s="12"/>
      <c r="BO184" s="12"/>
      <c r="BP184" s="12"/>
      <c r="BQ184" s="12"/>
      <c r="BR184" s="12"/>
    </row>
    <row r="185">
      <c r="AB185" s="12"/>
      <c r="AC185" s="12"/>
      <c r="AD185" s="12"/>
      <c r="AE185" s="12"/>
      <c r="AF185" s="12"/>
      <c r="AY185" s="12"/>
      <c r="AZ185" s="12"/>
      <c r="BA185" s="12"/>
      <c r="BB185" s="12"/>
      <c r="BO185" s="12"/>
      <c r="BP185" s="12"/>
      <c r="BQ185" s="12"/>
      <c r="BR185" s="12"/>
    </row>
    <row r="186">
      <c r="AB186" s="12"/>
      <c r="AC186" s="12"/>
      <c r="AD186" s="12"/>
      <c r="AE186" s="12"/>
      <c r="AF186" s="12"/>
      <c r="AY186" s="12"/>
      <c r="AZ186" s="12"/>
      <c r="BA186" s="12"/>
      <c r="BB186" s="12"/>
      <c r="BO186" s="12"/>
      <c r="BP186" s="12"/>
      <c r="BQ186" s="12"/>
      <c r="BR186" s="12"/>
    </row>
    <row r="187">
      <c r="AB187" s="12"/>
      <c r="AC187" s="12"/>
      <c r="AD187" s="12"/>
      <c r="AE187" s="12"/>
      <c r="AF187" s="12"/>
      <c r="AY187" s="12"/>
      <c r="AZ187" s="12"/>
      <c r="BA187" s="12"/>
      <c r="BB187" s="12"/>
      <c r="BO187" s="12"/>
      <c r="BP187" s="12"/>
      <c r="BQ187" s="12"/>
      <c r="BR187" s="12"/>
    </row>
    <row r="188">
      <c r="AB188" s="12"/>
      <c r="AC188" s="12"/>
      <c r="AD188" s="12"/>
      <c r="AE188" s="12"/>
      <c r="AF188" s="12"/>
      <c r="AY188" s="12"/>
      <c r="AZ188" s="12"/>
      <c r="BA188" s="12"/>
      <c r="BB188" s="12"/>
      <c r="BO188" s="12"/>
      <c r="BP188" s="12"/>
      <c r="BQ188" s="12"/>
      <c r="BR188" s="12"/>
    </row>
    <row r="189">
      <c r="AB189" s="12"/>
      <c r="AC189" s="12"/>
      <c r="AD189" s="12"/>
      <c r="AE189" s="12"/>
      <c r="AF189" s="12"/>
      <c r="AY189" s="12"/>
      <c r="AZ189" s="12"/>
      <c r="BA189" s="12"/>
      <c r="BB189" s="12"/>
      <c r="BO189" s="12"/>
      <c r="BP189" s="12"/>
      <c r="BQ189" s="12"/>
      <c r="BR189" s="12"/>
    </row>
    <row r="190">
      <c r="AB190" s="12"/>
      <c r="AC190" s="12"/>
      <c r="AD190" s="12"/>
      <c r="AE190" s="12"/>
      <c r="AF190" s="12"/>
      <c r="AY190" s="12"/>
      <c r="AZ190" s="12"/>
      <c r="BA190" s="12"/>
      <c r="BB190" s="12"/>
      <c r="BO190" s="12"/>
      <c r="BP190" s="12"/>
      <c r="BQ190" s="12"/>
      <c r="BR190" s="12"/>
    </row>
    <row r="191">
      <c r="AB191" s="12"/>
      <c r="AC191" s="12"/>
      <c r="AD191" s="12"/>
      <c r="AE191" s="12"/>
      <c r="AF191" s="12"/>
      <c r="AY191" s="12"/>
      <c r="AZ191" s="12"/>
      <c r="BA191" s="12"/>
      <c r="BB191" s="12"/>
      <c r="BO191" s="12"/>
      <c r="BP191" s="12"/>
      <c r="BQ191" s="12"/>
      <c r="BR191" s="12"/>
    </row>
    <row r="192">
      <c r="AB192" s="12"/>
      <c r="AC192" s="12"/>
      <c r="AD192" s="12"/>
      <c r="AE192" s="12"/>
      <c r="AF192" s="12"/>
      <c r="AY192" s="12"/>
      <c r="AZ192" s="12"/>
      <c r="BA192" s="12"/>
      <c r="BB192" s="12"/>
      <c r="BO192" s="12"/>
      <c r="BP192" s="12"/>
      <c r="BQ192" s="12"/>
      <c r="BR192" s="12"/>
    </row>
    <row r="193">
      <c r="AB193" s="12"/>
      <c r="AC193" s="12"/>
      <c r="AD193" s="12"/>
      <c r="AE193" s="12"/>
      <c r="AF193" s="12"/>
      <c r="AY193" s="12"/>
      <c r="AZ193" s="12"/>
      <c r="BA193" s="12"/>
      <c r="BB193" s="12"/>
      <c r="BO193" s="12"/>
      <c r="BP193" s="12"/>
      <c r="BQ193" s="12"/>
      <c r="BR193" s="12"/>
    </row>
    <row r="194">
      <c r="AB194" s="12"/>
      <c r="AC194" s="12"/>
      <c r="AD194" s="12"/>
      <c r="AE194" s="12"/>
      <c r="AF194" s="12"/>
      <c r="AY194" s="12"/>
      <c r="AZ194" s="12"/>
      <c r="BA194" s="12"/>
      <c r="BB194" s="12"/>
      <c r="BO194" s="12"/>
      <c r="BP194" s="12"/>
      <c r="BQ194" s="12"/>
      <c r="BR194" s="12"/>
    </row>
    <row r="195">
      <c r="AB195" s="12"/>
      <c r="AC195" s="12"/>
      <c r="AD195" s="12"/>
      <c r="AE195" s="12"/>
      <c r="AF195" s="12"/>
      <c r="AY195" s="12"/>
      <c r="AZ195" s="12"/>
      <c r="BA195" s="12"/>
      <c r="BB195" s="12"/>
      <c r="BO195" s="12"/>
      <c r="BP195" s="12"/>
      <c r="BQ195" s="12"/>
      <c r="BR195" s="12"/>
    </row>
    <row r="196">
      <c r="AB196" s="12"/>
      <c r="AC196" s="12"/>
      <c r="AD196" s="12"/>
      <c r="AE196" s="12"/>
      <c r="AF196" s="12"/>
      <c r="AY196" s="12"/>
      <c r="AZ196" s="12"/>
      <c r="BA196" s="12"/>
      <c r="BB196" s="12"/>
      <c r="BO196" s="12"/>
      <c r="BP196" s="12"/>
      <c r="BQ196" s="12"/>
      <c r="BR196" s="12"/>
    </row>
    <row r="197">
      <c r="AB197" s="12"/>
      <c r="AC197" s="12"/>
      <c r="AD197" s="12"/>
      <c r="AE197" s="12"/>
      <c r="AF197" s="12"/>
      <c r="AY197" s="12"/>
      <c r="AZ197" s="12"/>
      <c r="BA197" s="12"/>
      <c r="BB197" s="12"/>
      <c r="BO197" s="12"/>
      <c r="BP197" s="12"/>
      <c r="BQ197" s="12"/>
      <c r="BR197" s="12"/>
    </row>
    <row r="198">
      <c r="AB198" s="12"/>
      <c r="AC198" s="12"/>
      <c r="AD198" s="12"/>
      <c r="AE198" s="12"/>
      <c r="AF198" s="12"/>
      <c r="AY198" s="12"/>
      <c r="AZ198" s="12"/>
      <c r="BA198" s="12"/>
      <c r="BB198" s="12"/>
      <c r="BO198" s="12"/>
      <c r="BP198" s="12"/>
      <c r="BQ198" s="12"/>
      <c r="BR198" s="12"/>
    </row>
    <row r="199">
      <c r="AB199" s="12"/>
      <c r="AC199" s="12"/>
      <c r="AD199" s="12"/>
      <c r="AE199" s="12"/>
      <c r="AF199" s="12"/>
      <c r="AY199" s="12"/>
      <c r="AZ199" s="12"/>
      <c r="BA199" s="12"/>
      <c r="BB199" s="12"/>
      <c r="BO199" s="12"/>
      <c r="BP199" s="12"/>
      <c r="BQ199" s="12"/>
      <c r="BR199" s="12"/>
    </row>
    <row r="200">
      <c r="AB200" s="12"/>
      <c r="AC200" s="12"/>
      <c r="AD200" s="12"/>
      <c r="AE200" s="12"/>
      <c r="AF200" s="12"/>
      <c r="AY200" s="12"/>
      <c r="AZ200" s="12"/>
      <c r="BA200" s="12"/>
      <c r="BB200" s="12"/>
      <c r="BO200" s="12"/>
      <c r="BP200" s="12"/>
      <c r="BQ200" s="12"/>
      <c r="BR200" s="12"/>
    </row>
    <row r="201">
      <c r="AB201" s="12"/>
      <c r="AC201" s="12"/>
      <c r="AD201" s="12"/>
      <c r="AE201" s="12"/>
      <c r="AF201" s="12"/>
      <c r="AY201" s="12"/>
      <c r="AZ201" s="12"/>
      <c r="BA201" s="12"/>
      <c r="BB201" s="12"/>
      <c r="BO201" s="12"/>
      <c r="BP201" s="12"/>
      <c r="BQ201" s="12"/>
      <c r="BR201" s="12"/>
    </row>
    <row r="202">
      <c r="AB202" s="12"/>
      <c r="AC202" s="12"/>
      <c r="AD202" s="12"/>
      <c r="AE202" s="12"/>
      <c r="AF202" s="12"/>
      <c r="AY202" s="12"/>
      <c r="AZ202" s="12"/>
      <c r="BA202" s="12"/>
      <c r="BB202" s="12"/>
      <c r="BO202" s="12"/>
      <c r="BP202" s="12"/>
      <c r="BQ202" s="12"/>
      <c r="BR202" s="12"/>
    </row>
    <row r="203">
      <c r="AB203" s="12"/>
      <c r="AC203" s="12"/>
      <c r="AD203" s="12"/>
      <c r="AE203" s="12"/>
      <c r="AF203" s="12"/>
      <c r="AY203" s="12"/>
      <c r="AZ203" s="12"/>
      <c r="BA203" s="12"/>
      <c r="BB203" s="12"/>
      <c r="BO203" s="12"/>
      <c r="BP203" s="12"/>
      <c r="BQ203" s="12"/>
      <c r="BR203" s="12"/>
    </row>
    <row r="204">
      <c r="AB204" s="12"/>
      <c r="AC204" s="12"/>
      <c r="AD204" s="12"/>
      <c r="AE204" s="12"/>
      <c r="AF204" s="12"/>
      <c r="AY204" s="12"/>
      <c r="AZ204" s="12"/>
      <c r="BA204" s="12"/>
      <c r="BB204" s="12"/>
      <c r="BO204" s="12"/>
      <c r="BP204" s="12"/>
      <c r="BQ204" s="12"/>
      <c r="BR204" s="12"/>
    </row>
    <row r="205">
      <c r="AB205" s="12"/>
      <c r="AC205" s="12"/>
      <c r="AD205" s="12"/>
      <c r="AE205" s="12"/>
      <c r="AF205" s="12"/>
      <c r="AY205" s="12"/>
      <c r="AZ205" s="12"/>
      <c r="BA205" s="12"/>
      <c r="BB205" s="12"/>
      <c r="BO205" s="12"/>
      <c r="BP205" s="12"/>
      <c r="BQ205" s="12"/>
      <c r="BR205" s="12"/>
    </row>
    <row r="206">
      <c r="AB206" s="12"/>
      <c r="AC206" s="12"/>
      <c r="AD206" s="12"/>
      <c r="AE206" s="12"/>
      <c r="AF206" s="12"/>
      <c r="AY206" s="12"/>
      <c r="AZ206" s="12"/>
      <c r="BA206" s="12"/>
      <c r="BB206" s="12"/>
      <c r="BO206" s="12"/>
      <c r="BP206" s="12"/>
      <c r="BQ206" s="12"/>
      <c r="BR206" s="12"/>
    </row>
    <row r="207">
      <c r="AB207" s="12"/>
      <c r="AC207" s="12"/>
      <c r="AD207" s="12"/>
      <c r="AE207" s="12"/>
      <c r="AF207" s="12"/>
      <c r="AY207" s="12"/>
      <c r="AZ207" s="12"/>
      <c r="BA207" s="12"/>
      <c r="BB207" s="12"/>
      <c r="BO207" s="12"/>
      <c r="BP207" s="12"/>
      <c r="BQ207" s="12"/>
      <c r="BR207" s="12"/>
    </row>
    <row r="208">
      <c r="AB208" s="12"/>
      <c r="AC208" s="12"/>
      <c r="AD208" s="12"/>
      <c r="AE208" s="12"/>
      <c r="AF208" s="12"/>
      <c r="AY208" s="12"/>
      <c r="AZ208" s="12"/>
      <c r="BA208" s="12"/>
      <c r="BB208" s="12"/>
      <c r="BO208" s="12"/>
      <c r="BP208" s="12"/>
      <c r="BQ208" s="12"/>
      <c r="BR208" s="12"/>
    </row>
    <row r="209">
      <c r="AB209" s="12"/>
      <c r="AC209" s="12"/>
      <c r="AD209" s="12"/>
      <c r="AE209" s="12"/>
      <c r="AF209" s="12"/>
      <c r="AY209" s="12"/>
      <c r="AZ209" s="12"/>
      <c r="BA209" s="12"/>
      <c r="BB209" s="12"/>
      <c r="BO209" s="12"/>
      <c r="BP209" s="12"/>
      <c r="BQ209" s="12"/>
      <c r="BR209" s="12"/>
    </row>
    <row r="210">
      <c r="AB210" s="12"/>
      <c r="AC210" s="12"/>
      <c r="AD210" s="12"/>
      <c r="AE210" s="12"/>
      <c r="AF210" s="12"/>
      <c r="AY210" s="12"/>
      <c r="AZ210" s="12"/>
      <c r="BA210" s="12"/>
      <c r="BB210" s="12"/>
      <c r="BO210" s="12"/>
      <c r="BP210" s="12"/>
      <c r="BQ210" s="12"/>
      <c r="BR210" s="12"/>
    </row>
    <row r="211">
      <c r="AB211" s="12"/>
      <c r="AC211" s="12"/>
      <c r="AD211" s="12"/>
      <c r="AE211" s="12"/>
      <c r="AF211" s="12"/>
      <c r="AY211" s="12"/>
      <c r="AZ211" s="12"/>
      <c r="BA211" s="12"/>
      <c r="BB211" s="12"/>
      <c r="BO211" s="12"/>
      <c r="BP211" s="12"/>
      <c r="BQ211" s="12"/>
      <c r="BR211" s="12"/>
    </row>
    <row r="212">
      <c r="AB212" s="12"/>
      <c r="AC212" s="12"/>
      <c r="AD212" s="12"/>
      <c r="AE212" s="12"/>
      <c r="AF212" s="12"/>
      <c r="AY212" s="12"/>
      <c r="AZ212" s="12"/>
      <c r="BA212" s="12"/>
      <c r="BB212" s="12"/>
      <c r="BO212" s="12"/>
      <c r="BP212" s="12"/>
      <c r="BQ212" s="12"/>
      <c r="BR212" s="12"/>
    </row>
    <row r="213">
      <c r="AB213" s="12"/>
      <c r="AC213" s="12"/>
      <c r="AD213" s="12"/>
      <c r="AE213" s="12"/>
      <c r="AF213" s="12"/>
      <c r="AY213" s="12"/>
      <c r="AZ213" s="12"/>
      <c r="BA213" s="12"/>
      <c r="BB213" s="12"/>
      <c r="BO213" s="12"/>
      <c r="BP213" s="12"/>
      <c r="BQ213" s="12"/>
      <c r="BR213" s="12"/>
    </row>
    <row r="214">
      <c r="AB214" s="12"/>
      <c r="AC214" s="12"/>
      <c r="AD214" s="12"/>
      <c r="AE214" s="12"/>
      <c r="AF214" s="12"/>
      <c r="AY214" s="12"/>
      <c r="AZ214" s="12"/>
      <c r="BA214" s="12"/>
      <c r="BB214" s="12"/>
      <c r="BO214" s="12"/>
      <c r="BP214" s="12"/>
      <c r="BQ214" s="12"/>
      <c r="BR214" s="12"/>
    </row>
    <row r="215">
      <c r="AB215" s="12"/>
      <c r="AC215" s="12"/>
      <c r="AD215" s="12"/>
      <c r="AE215" s="12"/>
      <c r="AF215" s="12"/>
      <c r="AY215" s="12"/>
      <c r="AZ215" s="12"/>
      <c r="BA215" s="12"/>
      <c r="BB215" s="12"/>
      <c r="BO215" s="12"/>
      <c r="BP215" s="12"/>
      <c r="BQ215" s="12"/>
      <c r="BR215" s="12"/>
    </row>
    <row r="216">
      <c r="AB216" s="12"/>
      <c r="AC216" s="12"/>
      <c r="AD216" s="12"/>
      <c r="AE216" s="12"/>
      <c r="AF216" s="12"/>
      <c r="AY216" s="12"/>
      <c r="AZ216" s="12"/>
      <c r="BA216" s="12"/>
      <c r="BB216" s="12"/>
      <c r="BO216" s="12"/>
      <c r="BP216" s="12"/>
      <c r="BQ216" s="12"/>
      <c r="BR216" s="12"/>
    </row>
    <row r="217">
      <c r="AB217" s="12"/>
      <c r="AC217" s="12"/>
      <c r="AD217" s="12"/>
      <c r="AE217" s="12"/>
      <c r="AF217" s="12"/>
      <c r="AY217" s="12"/>
      <c r="AZ217" s="12"/>
      <c r="BA217" s="12"/>
      <c r="BB217" s="12"/>
      <c r="BO217" s="12"/>
      <c r="BP217" s="12"/>
      <c r="BQ217" s="12"/>
      <c r="BR217" s="12"/>
    </row>
    <row r="218">
      <c r="AB218" s="12"/>
      <c r="AC218" s="12"/>
      <c r="AD218" s="12"/>
      <c r="AE218" s="12"/>
      <c r="AF218" s="12"/>
      <c r="AY218" s="12"/>
      <c r="AZ218" s="12"/>
      <c r="BA218" s="12"/>
      <c r="BB218" s="12"/>
      <c r="BO218" s="12"/>
      <c r="BP218" s="12"/>
      <c r="BQ218" s="12"/>
      <c r="BR218" s="12"/>
    </row>
    <row r="219">
      <c r="AB219" s="12"/>
      <c r="AC219" s="12"/>
      <c r="AD219" s="12"/>
      <c r="AE219" s="12"/>
      <c r="AF219" s="12"/>
      <c r="AY219" s="12"/>
      <c r="AZ219" s="12"/>
      <c r="BA219" s="12"/>
      <c r="BB219" s="12"/>
      <c r="BO219" s="12"/>
      <c r="BP219" s="12"/>
      <c r="BQ219" s="12"/>
      <c r="BR219" s="12"/>
    </row>
    <row r="220">
      <c r="AB220" s="12"/>
      <c r="AC220" s="12"/>
      <c r="AD220" s="12"/>
      <c r="AE220" s="12"/>
      <c r="AF220" s="12"/>
      <c r="AY220" s="12"/>
      <c r="AZ220" s="12"/>
      <c r="BA220" s="12"/>
      <c r="BB220" s="12"/>
      <c r="BO220" s="12"/>
      <c r="BP220" s="12"/>
      <c r="BQ220" s="12"/>
      <c r="BR220" s="12"/>
    </row>
    <row r="221">
      <c r="AB221" s="12"/>
      <c r="AC221" s="12"/>
      <c r="AD221" s="12"/>
      <c r="AE221" s="12"/>
      <c r="AF221" s="12"/>
      <c r="AY221" s="12"/>
      <c r="AZ221" s="12"/>
      <c r="BA221" s="12"/>
      <c r="BB221" s="12"/>
      <c r="BO221" s="12"/>
      <c r="BP221" s="12"/>
      <c r="BQ221" s="12"/>
      <c r="BR221" s="12"/>
    </row>
    <row r="222">
      <c r="AB222" s="12"/>
      <c r="AC222" s="12"/>
      <c r="AD222" s="12"/>
      <c r="AE222" s="12"/>
      <c r="AF222" s="12"/>
      <c r="AY222" s="12"/>
      <c r="AZ222" s="12"/>
      <c r="BA222" s="12"/>
      <c r="BB222" s="12"/>
      <c r="BO222" s="12"/>
      <c r="BP222" s="12"/>
      <c r="BQ222" s="12"/>
      <c r="BR222" s="12"/>
    </row>
    <row r="223">
      <c r="AB223" s="12"/>
      <c r="AC223" s="12"/>
      <c r="AD223" s="12"/>
      <c r="AE223" s="12"/>
      <c r="AF223" s="12"/>
      <c r="AY223" s="12"/>
      <c r="AZ223" s="12"/>
      <c r="BA223" s="12"/>
      <c r="BB223" s="12"/>
      <c r="BO223" s="12"/>
      <c r="BP223" s="12"/>
      <c r="BQ223" s="12"/>
      <c r="BR223" s="12"/>
    </row>
    <row r="224">
      <c r="AB224" s="12"/>
      <c r="AC224" s="12"/>
      <c r="AD224" s="12"/>
      <c r="AE224" s="12"/>
      <c r="AF224" s="12"/>
      <c r="AY224" s="12"/>
      <c r="AZ224" s="12"/>
      <c r="BA224" s="12"/>
      <c r="BB224" s="12"/>
      <c r="BO224" s="12"/>
      <c r="BP224" s="12"/>
      <c r="BQ224" s="12"/>
      <c r="BR224" s="12"/>
    </row>
    <row r="225">
      <c r="AB225" s="12"/>
      <c r="AC225" s="12"/>
      <c r="AD225" s="12"/>
      <c r="AE225" s="12"/>
      <c r="AF225" s="12"/>
      <c r="AY225" s="12"/>
      <c r="AZ225" s="12"/>
      <c r="BA225" s="12"/>
      <c r="BB225" s="12"/>
      <c r="BO225" s="12"/>
      <c r="BP225" s="12"/>
      <c r="BQ225" s="12"/>
      <c r="BR225" s="12"/>
    </row>
    <row r="226">
      <c r="AB226" s="12"/>
      <c r="AC226" s="12"/>
      <c r="AD226" s="12"/>
      <c r="AE226" s="12"/>
      <c r="AF226" s="12"/>
      <c r="AY226" s="12"/>
      <c r="AZ226" s="12"/>
      <c r="BA226" s="12"/>
      <c r="BB226" s="12"/>
      <c r="BO226" s="12"/>
      <c r="BP226" s="12"/>
      <c r="BQ226" s="12"/>
      <c r="BR226" s="12"/>
    </row>
    <row r="227">
      <c r="AB227" s="12"/>
      <c r="AC227" s="12"/>
      <c r="AD227" s="12"/>
      <c r="AE227" s="12"/>
      <c r="AF227" s="12"/>
      <c r="AY227" s="12"/>
      <c r="AZ227" s="12"/>
      <c r="BA227" s="12"/>
      <c r="BB227" s="12"/>
      <c r="BO227" s="12"/>
      <c r="BP227" s="12"/>
      <c r="BQ227" s="12"/>
      <c r="BR227" s="12"/>
    </row>
    <row r="228">
      <c r="AB228" s="12"/>
      <c r="AC228" s="12"/>
      <c r="AD228" s="12"/>
      <c r="AE228" s="12"/>
      <c r="AF228" s="12"/>
      <c r="AY228" s="12"/>
      <c r="AZ228" s="12"/>
      <c r="BA228" s="12"/>
      <c r="BB228" s="12"/>
      <c r="BO228" s="12"/>
      <c r="BP228" s="12"/>
      <c r="BQ228" s="12"/>
      <c r="BR228" s="12"/>
    </row>
    <row r="229">
      <c r="AB229" s="12"/>
      <c r="AC229" s="12"/>
      <c r="AD229" s="12"/>
      <c r="AE229" s="12"/>
      <c r="AF229" s="12"/>
      <c r="AY229" s="12"/>
      <c r="AZ229" s="12"/>
      <c r="BA229" s="12"/>
      <c r="BB229" s="12"/>
      <c r="BO229" s="12"/>
      <c r="BP229" s="12"/>
      <c r="BQ229" s="12"/>
      <c r="BR229" s="12"/>
    </row>
    <row r="230">
      <c r="AB230" s="12"/>
      <c r="AC230" s="12"/>
      <c r="AD230" s="12"/>
      <c r="AE230" s="12"/>
      <c r="AF230" s="12"/>
      <c r="AY230" s="12"/>
      <c r="AZ230" s="12"/>
      <c r="BA230" s="12"/>
      <c r="BB230" s="12"/>
      <c r="BO230" s="12"/>
      <c r="BP230" s="12"/>
      <c r="BQ230" s="12"/>
      <c r="BR230" s="12"/>
    </row>
    <row r="231">
      <c r="AB231" s="12"/>
      <c r="AC231" s="12"/>
      <c r="AD231" s="12"/>
      <c r="AE231" s="12"/>
      <c r="AF231" s="12"/>
      <c r="AY231" s="12"/>
      <c r="AZ231" s="12"/>
      <c r="BA231" s="12"/>
      <c r="BB231" s="12"/>
      <c r="BO231" s="12"/>
      <c r="BP231" s="12"/>
      <c r="BQ231" s="12"/>
      <c r="BR231" s="12"/>
    </row>
    <row r="232">
      <c r="AB232" s="12"/>
      <c r="AC232" s="12"/>
      <c r="AD232" s="12"/>
      <c r="AE232" s="12"/>
      <c r="AF232" s="12"/>
      <c r="AY232" s="12"/>
      <c r="AZ232" s="12"/>
      <c r="BA232" s="12"/>
      <c r="BB232" s="12"/>
      <c r="BO232" s="12"/>
      <c r="BP232" s="12"/>
      <c r="BQ232" s="12"/>
      <c r="BR232" s="12"/>
    </row>
    <row r="233">
      <c r="AB233" s="12"/>
      <c r="AC233" s="12"/>
      <c r="AD233" s="12"/>
      <c r="AE233" s="12"/>
      <c r="AF233" s="12"/>
      <c r="AY233" s="12"/>
      <c r="AZ233" s="12"/>
      <c r="BA233" s="12"/>
      <c r="BB233" s="12"/>
      <c r="BO233" s="12"/>
      <c r="BP233" s="12"/>
      <c r="BQ233" s="12"/>
      <c r="BR233" s="12"/>
    </row>
    <row r="234">
      <c r="AB234" s="12"/>
      <c r="AC234" s="12"/>
      <c r="AD234" s="12"/>
      <c r="AE234" s="12"/>
      <c r="AF234" s="12"/>
      <c r="AY234" s="12"/>
      <c r="AZ234" s="12"/>
      <c r="BA234" s="12"/>
      <c r="BB234" s="12"/>
      <c r="BO234" s="12"/>
      <c r="BP234" s="12"/>
      <c r="BQ234" s="12"/>
      <c r="BR234" s="12"/>
    </row>
    <row r="235">
      <c r="AB235" s="12"/>
      <c r="AC235" s="12"/>
      <c r="AD235" s="12"/>
      <c r="AE235" s="12"/>
      <c r="AF235" s="12"/>
      <c r="AY235" s="12"/>
      <c r="AZ235" s="12"/>
      <c r="BA235" s="12"/>
      <c r="BB235" s="12"/>
      <c r="BO235" s="12"/>
      <c r="BP235" s="12"/>
      <c r="BQ235" s="12"/>
      <c r="BR235" s="12"/>
    </row>
    <row r="236">
      <c r="AB236" s="12"/>
      <c r="AC236" s="12"/>
      <c r="AD236" s="12"/>
      <c r="AE236" s="12"/>
      <c r="AF236" s="12"/>
      <c r="AY236" s="12"/>
      <c r="AZ236" s="12"/>
      <c r="BA236" s="12"/>
      <c r="BB236" s="12"/>
      <c r="BO236" s="12"/>
      <c r="BP236" s="12"/>
      <c r="BQ236" s="12"/>
      <c r="BR236" s="12"/>
    </row>
    <row r="237">
      <c r="AB237" s="12"/>
      <c r="AC237" s="12"/>
      <c r="AD237" s="12"/>
      <c r="AE237" s="12"/>
      <c r="AF237" s="12"/>
      <c r="AY237" s="12"/>
      <c r="AZ237" s="12"/>
      <c r="BA237" s="12"/>
      <c r="BB237" s="12"/>
      <c r="BO237" s="12"/>
      <c r="BP237" s="12"/>
      <c r="BQ237" s="12"/>
      <c r="BR237" s="12"/>
    </row>
    <row r="238">
      <c r="AB238" s="12"/>
      <c r="AC238" s="12"/>
      <c r="AD238" s="12"/>
      <c r="AE238" s="12"/>
      <c r="AF238" s="12"/>
      <c r="AY238" s="12"/>
      <c r="AZ238" s="12"/>
      <c r="BA238" s="12"/>
      <c r="BB238" s="12"/>
      <c r="BO238" s="12"/>
      <c r="BP238" s="12"/>
      <c r="BQ238" s="12"/>
      <c r="BR238" s="12"/>
    </row>
    <row r="239">
      <c r="AB239" s="12"/>
      <c r="AC239" s="12"/>
      <c r="AD239" s="12"/>
      <c r="AE239" s="12"/>
      <c r="AF239" s="12"/>
      <c r="AY239" s="12"/>
      <c r="AZ239" s="12"/>
      <c r="BA239" s="12"/>
      <c r="BB239" s="12"/>
      <c r="BO239" s="12"/>
      <c r="BP239" s="12"/>
      <c r="BQ239" s="12"/>
      <c r="BR239" s="12"/>
    </row>
    <row r="240">
      <c r="AB240" s="12"/>
      <c r="AC240" s="12"/>
      <c r="AD240" s="12"/>
      <c r="AE240" s="12"/>
      <c r="AF240" s="12"/>
      <c r="AY240" s="12"/>
      <c r="AZ240" s="12"/>
      <c r="BA240" s="12"/>
      <c r="BB240" s="12"/>
      <c r="BO240" s="12"/>
      <c r="BP240" s="12"/>
      <c r="BQ240" s="12"/>
      <c r="BR240" s="12"/>
    </row>
    <row r="241">
      <c r="AB241" s="12"/>
      <c r="AC241" s="12"/>
      <c r="AD241" s="12"/>
      <c r="AE241" s="12"/>
      <c r="AF241" s="12"/>
      <c r="AY241" s="12"/>
      <c r="AZ241" s="12"/>
      <c r="BA241" s="12"/>
      <c r="BB241" s="12"/>
      <c r="BO241" s="12"/>
      <c r="BP241" s="12"/>
      <c r="BQ241" s="12"/>
      <c r="BR241" s="12"/>
    </row>
    <row r="242">
      <c r="AB242" s="12"/>
      <c r="AC242" s="12"/>
      <c r="AD242" s="12"/>
      <c r="AE242" s="12"/>
      <c r="AF242" s="12"/>
      <c r="AY242" s="12"/>
      <c r="AZ242" s="12"/>
      <c r="BA242" s="12"/>
      <c r="BB242" s="12"/>
      <c r="BO242" s="12"/>
      <c r="BP242" s="12"/>
      <c r="BQ242" s="12"/>
      <c r="BR242" s="12"/>
    </row>
    <row r="243">
      <c r="AB243" s="12"/>
      <c r="AC243" s="12"/>
      <c r="AD243" s="12"/>
      <c r="AE243" s="12"/>
      <c r="AF243" s="12"/>
      <c r="AY243" s="12"/>
      <c r="AZ243" s="12"/>
      <c r="BA243" s="12"/>
      <c r="BB243" s="12"/>
      <c r="BO243" s="12"/>
      <c r="BP243" s="12"/>
      <c r="BQ243" s="12"/>
      <c r="BR243" s="12"/>
    </row>
    <row r="244">
      <c r="AB244" s="12"/>
      <c r="AC244" s="12"/>
      <c r="AD244" s="12"/>
      <c r="AE244" s="12"/>
      <c r="AF244" s="12"/>
      <c r="AY244" s="12"/>
      <c r="AZ244" s="12"/>
      <c r="BA244" s="12"/>
      <c r="BB244" s="12"/>
      <c r="BO244" s="12"/>
      <c r="BP244" s="12"/>
      <c r="BQ244" s="12"/>
      <c r="BR244" s="12"/>
    </row>
    <row r="245">
      <c r="AB245" s="12"/>
      <c r="AC245" s="12"/>
      <c r="AD245" s="12"/>
      <c r="AE245" s="12"/>
      <c r="AF245" s="12"/>
      <c r="AY245" s="12"/>
      <c r="AZ245" s="12"/>
      <c r="BA245" s="12"/>
      <c r="BB245" s="12"/>
      <c r="BO245" s="12"/>
      <c r="BP245" s="12"/>
      <c r="BQ245" s="12"/>
      <c r="BR245" s="12"/>
    </row>
    <row r="246">
      <c r="AB246" s="12"/>
      <c r="AC246" s="12"/>
      <c r="AD246" s="12"/>
      <c r="AE246" s="12"/>
      <c r="AF246" s="12"/>
      <c r="AY246" s="12"/>
      <c r="AZ246" s="12"/>
      <c r="BA246" s="12"/>
      <c r="BB246" s="12"/>
      <c r="BO246" s="12"/>
      <c r="BP246" s="12"/>
      <c r="BQ246" s="12"/>
      <c r="BR246" s="12"/>
    </row>
    <row r="247">
      <c r="AB247" s="12"/>
      <c r="AC247" s="12"/>
      <c r="AD247" s="12"/>
      <c r="AE247" s="12"/>
      <c r="AF247" s="12"/>
      <c r="AY247" s="12"/>
      <c r="AZ247" s="12"/>
      <c r="BA247" s="12"/>
      <c r="BB247" s="12"/>
      <c r="BO247" s="12"/>
      <c r="BP247" s="12"/>
      <c r="BQ247" s="12"/>
      <c r="BR247" s="12"/>
    </row>
    <row r="248">
      <c r="AB248" s="12"/>
      <c r="AC248" s="12"/>
      <c r="AD248" s="12"/>
      <c r="AE248" s="12"/>
      <c r="AF248" s="12"/>
      <c r="AY248" s="12"/>
      <c r="AZ248" s="12"/>
      <c r="BA248" s="12"/>
      <c r="BB248" s="12"/>
      <c r="BO248" s="12"/>
      <c r="BP248" s="12"/>
      <c r="BQ248" s="12"/>
      <c r="BR248" s="12"/>
    </row>
    <row r="249">
      <c r="AB249" s="12"/>
      <c r="AC249" s="12"/>
      <c r="AD249" s="12"/>
      <c r="AE249" s="12"/>
      <c r="AF249" s="12"/>
      <c r="AY249" s="12"/>
      <c r="AZ249" s="12"/>
      <c r="BA249" s="12"/>
      <c r="BB249" s="12"/>
      <c r="BO249" s="12"/>
      <c r="BP249" s="12"/>
      <c r="BQ249" s="12"/>
      <c r="BR249" s="12"/>
    </row>
    <row r="250">
      <c r="AB250" s="12"/>
      <c r="AC250" s="12"/>
      <c r="AD250" s="12"/>
      <c r="AE250" s="12"/>
      <c r="AF250" s="12"/>
      <c r="AY250" s="12"/>
      <c r="AZ250" s="12"/>
      <c r="BA250" s="12"/>
      <c r="BB250" s="12"/>
      <c r="BO250" s="12"/>
      <c r="BP250" s="12"/>
      <c r="BQ250" s="12"/>
      <c r="BR250" s="12"/>
    </row>
    <row r="251">
      <c r="AB251" s="12"/>
      <c r="AC251" s="12"/>
      <c r="AD251" s="12"/>
      <c r="AE251" s="12"/>
      <c r="AF251" s="12"/>
      <c r="AY251" s="12"/>
      <c r="AZ251" s="12"/>
      <c r="BA251" s="12"/>
      <c r="BB251" s="12"/>
      <c r="BO251" s="12"/>
      <c r="BP251" s="12"/>
      <c r="BQ251" s="12"/>
      <c r="BR251" s="12"/>
    </row>
    <row r="252">
      <c r="AB252" s="12"/>
      <c r="AC252" s="12"/>
      <c r="AD252" s="12"/>
      <c r="AE252" s="12"/>
      <c r="AF252" s="12"/>
      <c r="AY252" s="12"/>
      <c r="AZ252" s="12"/>
      <c r="BA252" s="12"/>
      <c r="BB252" s="12"/>
      <c r="BO252" s="12"/>
      <c r="BP252" s="12"/>
      <c r="BQ252" s="12"/>
      <c r="BR252" s="12"/>
    </row>
    <row r="253">
      <c r="AB253" s="12"/>
      <c r="AC253" s="12"/>
      <c r="AD253" s="12"/>
      <c r="AE253" s="12"/>
      <c r="AF253" s="12"/>
      <c r="AY253" s="12"/>
      <c r="AZ253" s="12"/>
      <c r="BA253" s="12"/>
      <c r="BB253" s="12"/>
      <c r="BO253" s="12"/>
      <c r="BP253" s="12"/>
      <c r="BQ253" s="12"/>
      <c r="BR253" s="12"/>
    </row>
    <row r="254">
      <c r="AB254" s="12"/>
      <c r="AC254" s="12"/>
      <c r="AD254" s="12"/>
      <c r="AE254" s="12"/>
      <c r="AF254" s="12"/>
      <c r="AY254" s="12"/>
      <c r="AZ254" s="12"/>
      <c r="BA254" s="12"/>
      <c r="BB254" s="12"/>
      <c r="BO254" s="12"/>
      <c r="BP254" s="12"/>
      <c r="BQ254" s="12"/>
      <c r="BR254" s="12"/>
    </row>
    <row r="255">
      <c r="AB255" s="12"/>
      <c r="AC255" s="12"/>
      <c r="AD255" s="12"/>
      <c r="AE255" s="12"/>
      <c r="AF255" s="12"/>
      <c r="AY255" s="12"/>
      <c r="AZ255" s="12"/>
      <c r="BA255" s="12"/>
      <c r="BB255" s="12"/>
      <c r="BO255" s="12"/>
      <c r="BP255" s="12"/>
      <c r="BQ255" s="12"/>
      <c r="BR255" s="12"/>
    </row>
    <row r="256">
      <c r="AB256" s="12"/>
      <c r="AC256" s="12"/>
      <c r="AD256" s="12"/>
      <c r="AE256" s="12"/>
      <c r="AF256" s="12"/>
      <c r="AY256" s="12"/>
      <c r="AZ256" s="12"/>
      <c r="BA256" s="12"/>
      <c r="BB256" s="12"/>
      <c r="BO256" s="12"/>
      <c r="BP256" s="12"/>
      <c r="BQ256" s="12"/>
      <c r="BR256" s="12"/>
    </row>
    <row r="257">
      <c r="AB257" s="12"/>
      <c r="AC257" s="12"/>
      <c r="AD257" s="12"/>
      <c r="AE257" s="12"/>
      <c r="AF257" s="12"/>
      <c r="AY257" s="12"/>
      <c r="AZ257" s="12"/>
      <c r="BA257" s="12"/>
      <c r="BB257" s="12"/>
      <c r="BO257" s="12"/>
      <c r="BP257" s="12"/>
      <c r="BQ257" s="12"/>
      <c r="BR257" s="12"/>
    </row>
    <row r="258">
      <c r="AB258" s="12"/>
      <c r="AC258" s="12"/>
      <c r="AD258" s="12"/>
      <c r="AE258" s="12"/>
      <c r="AF258" s="12"/>
      <c r="AY258" s="12"/>
      <c r="AZ258" s="12"/>
      <c r="BA258" s="12"/>
      <c r="BB258" s="12"/>
      <c r="BO258" s="12"/>
      <c r="BP258" s="12"/>
      <c r="BQ258" s="12"/>
      <c r="BR258" s="12"/>
    </row>
    <row r="259">
      <c r="AB259" s="12"/>
      <c r="AC259" s="12"/>
      <c r="AD259" s="12"/>
      <c r="AE259" s="12"/>
      <c r="AF259" s="12"/>
      <c r="AY259" s="12"/>
      <c r="AZ259" s="12"/>
      <c r="BA259" s="12"/>
      <c r="BB259" s="12"/>
      <c r="BO259" s="12"/>
      <c r="BP259" s="12"/>
      <c r="BQ259" s="12"/>
      <c r="BR259" s="12"/>
    </row>
    <row r="260">
      <c r="AB260" s="12"/>
      <c r="AC260" s="12"/>
      <c r="AD260" s="12"/>
      <c r="AE260" s="12"/>
      <c r="AF260" s="12"/>
      <c r="AY260" s="12"/>
      <c r="AZ260" s="12"/>
      <c r="BA260" s="12"/>
      <c r="BB260" s="12"/>
      <c r="BO260" s="12"/>
      <c r="BP260" s="12"/>
      <c r="BQ260" s="12"/>
      <c r="BR260" s="12"/>
    </row>
    <row r="261">
      <c r="AB261" s="12"/>
      <c r="AC261" s="12"/>
      <c r="AD261" s="12"/>
      <c r="AE261" s="12"/>
      <c r="AF261" s="12"/>
      <c r="AY261" s="12"/>
      <c r="AZ261" s="12"/>
      <c r="BA261" s="12"/>
      <c r="BB261" s="12"/>
      <c r="BO261" s="12"/>
      <c r="BP261" s="12"/>
      <c r="BQ261" s="12"/>
      <c r="BR261" s="12"/>
    </row>
    <row r="262">
      <c r="AB262" s="12"/>
      <c r="AC262" s="12"/>
      <c r="AD262" s="12"/>
      <c r="AE262" s="12"/>
      <c r="AF262" s="12"/>
      <c r="AY262" s="12"/>
      <c r="AZ262" s="12"/>
      <c r="BA262" s="12"/>
      <c r="BB262" s="12"/>
      <c r="BO262" s="12"/>
      <c r="BP262" s="12"/>
      <c r="BQ262" s="12"/>
      <c r="BR262" s="12"/>
    </row>
    <row r="263">
      <c r="AB263" s="12"/>
      <c r="AC263" s="12"/>
      <c r="AD263" s="12"/>
      <c r="AE263" s="12"/>
      <c r="AF263" s="12"/>
      <c r="AY263" s="12"/>
      <c r="AZ263" s="12"/>
      <c r="BA263" s="12"/>
      <c r="BB263" s="12"/>
      <c r="BO263" s="12"/>
      <c r="BP263" s="12"/>
      <c r="BQ263" s="12"/>
      <c r="BR263" s="12"/>
    </row>
    <row r="264">
      <c r="AB264" s="12"/>
      <c r="AC264" s="12"/>
      <c r="AD264" s="12"/>
      <c r="AE264" s="12"/>
      <c r="AF264" s="12"/>
      <c r="AY264" s="12"/>
      <c r="AZ264" s="12"/>
      <c r="BA264" s="12"/>
      <c r="BB264" s="12"/>
      <c r="BO264" s="12"/>
      <c r="BP264" s="12"/>
      <c r="BQ264" s="12"/>
      <c r="BR264" s="12"/>
    </row>
    <row r="265">
      <c r="AB265" s="12"/>
      <c r="AC265" s="12"/>
      <c r="AD265" s="12"/>
      <c r="AE265" s="12"/>
      <c r="AF265" s="12"/>
      <c r="AY265" s="12"/>
      <c r="AZ265" s="12"/>
      <c r="BA265" s="12"/>
      <c r="BB265" s="12"/>
      <c r="BO265" s="12"/>
      <c r="BP265" s="12"/>
      <c r="BQ265" s="12"/>
      <c r="BR265" s="12"/>
    </row>
    <row r="266">
      <c r="AB266" s="12"/>
      <c r="AC266" s="12"/>
      <c r="AD266" s="12"/>
      <c r="AE266" s="12"/>
      <c r="AF266" s="12"/>
      <c r="AY266" s="12"/>
      <c r="AZ266" s="12"/>
      <c r="BA266" s="12"/>
      <c r="BB266" s="12"/>
      <c r="BO266" s="12"/>
      <c r="BP266" s="12"/>
      <c r="BQ266" s="12"/>
      <c r="BR266" s="12"/>
    </row>
    <row r="267">
      <c r="AB267" s="12"/>
      <c r="AC267" s="12"/>
      <c r="AD267" s="12"/>
      <c r="AE267" s="12"/>
      <c r="AF267" s="12"/>
      <c r="AY267" s="12"/>
      <c r="AZ267" s="12"/>
      <c r="BA267" s="12"/>
      <c r="BB267" s="12"/>
      <c r="BO267" s="12"/>
      <c r="BP267" s="12"/>
      <c r="BQ267" s="12"/>
      <c r="BR267" s="12"/>
    </row>
    <row r="268">
      <c r="AB268" s="12"/>
      <c r="AC268" s="12"/>
      <c r="AD268" s="12"/>
      <c r="AE268" s="12"/>
      <c r="AF268" s="12"/>
      <c r="AY268" s="12"/>
      <c r="AZ268" s="12"/>
      <c r="BA268" s="12"/>
      <c r="BB268" s="12"/>
      <c r="BO268" s="12"/>
      <c r="BP268" s="12"/>
      <c r="BQ268" s="12"/>
      <c r="BR268" s="12"/>
    </row>
    <row r="269">
      <c r="AB269" s="12"/>
      <c r="AC269" s="12"/>
      <c r="AD269" s="12"/>
      <c r="AE269" s="12"/>
      <c r="AF269" s="12"/>
      <c r="AY269" s="12"/>
      <c r="AZ269" s="12"/>
      <c r="BA269" s="12"/>
      <c r="BB269" s="12"/>
      <c r="BO269" s="12"/>
      <c r="BP269" s="12"/>
      <c r="BQ269" s="12"/>
      <c r="BR269" s="12"/>
    </row>
    <row r="270">
      <c r="AB270" s="12"/>
      <c r="AC270" s="12"/>
      <c r="AD270" s="12"/>
      <c r="AE270" s="12"/>
      <c r="AF270" s="12"/>
      <c r="AY270" s="12"/>
      <c r="AZ270" s="12"/>
      <c r="BA270" s="12"/>
      <c r="BB270" s="12"/>
      <c r="BO270" s="12"/>
      <c r="BP270" s="12"/>
      <c r="BQ270" s="12"/>
      <c r="BR270" s="12"/>
    </row>
    <row r="271">
      <c r="AB271" s="12"/>
      <c r="AC271" s="12"/>
      <c r="AD271" s="12"/>
      <c r="AE271" s="12"/>
      <c r="AF271" s="12"/>
      <c r="AY271" s="12"/>
      <c r="AZ271" s="12"/>
      <c r="BA271" s="12"/>
      <c r="BB271" s="12"/>
      <c r="BO271" s="12"/>
      <c r="BP271" s="12"/>
      <c r="BQ271" s="12"/>
      <c r="BR271" s="12"/>
    </row>
    <row r="272">
      <c r="AB272" s="12"/>
      <c r="AC272" s="12"/>
      <c r="AD272" s="12"/>
      <c r="AE272" s="12"/>
      <c r="AF272" s="12"/>
      <c r="AY272" s="12"/>
      <c r="AZ272" s="12"/>
      <c r="BA272" s="12"/>
      <c r="BB272" s="12"/>
      <c r="BO272" s="12"/>
      <c r="BP272" s="12"/>
      <c r="BQ272" s="12"/>
      <c r="BR272" s="12"/>
    </row>
    <row r="273">
      <c r="AB273" s="12"/>
      <c r="AC273" s="12"/>
      <c r="AD273" s="12"/>
      <c r="AE273" s="12"/>
      <c r="AF273" s="12"/>
      <c r="AY273" s="12"/>
      <c r="AZ273" s="12"/>
      <c r="BA273" s="12"/>
      <c r="BB273" s="12"/>
      <c r="BO273" s="12"/>
      <c r="BP273" s="12"/>
      <c r="BQ273" s="12"/>
      <c r="BR273" s="12"/>
    </row>
    <row r="274">
      <c r="AB274" s="12"/>
      <c r="AC274" s="12"/>
      <c r="AD274" s="12"/>
      <c r="AE274" s="12"/>
      <c r="AF274" s="12"/>
      <c r="AY274" s="12"/>
      <c r="AZ274" s="12"/>
      <c r="BA274" s="12"/>
      <c r="BB274" s="12"/>
      <c r="BO274" s="12"/>
      <c r="BP274" s="12"/>
      <c r="BQ274" s="12"/>
      <c r="BR274" s="12"/>
    </row>
    <row r="275">
      <c r="AB275" s="12"/>
      <c r="AC275" s="12"/>
      <c r="AD275" s="12"/>
      <c r="AE275" s="12"/>
      <c r="AF275" s="12"/>
      <c r="AY275" s="12"/>
      <c r="AZ275" s="12"/>
      <c r="BA275" s="12"/>
      <c r="BB275" s="12"/>
      <c r="BO275" s="12"/>
      <c r="BP275" s="12"/>
      <c r="BQ275" s="12"/>
      <c r="BR275" s="12"/>
    </row>
    <row r="276">
      <c r="AB276" s="12"/>
      <c r="AC276" s="12"/>
      <c r="AD276" s="12"/>
      <c r="AE276" s="12"/>
      <c r="AF276" s="12"/>
      <c r="AY276" s="12"/>
      <c r="AZ276" s="12"/>
      <c r="BA276" s="12"/>
      <c r="BB276" s="12"/>
      <c r="BO276" s="12"/>
      <c r="BP276" s="12"/>
      <c r="BQ276" s="12"/>
      <c r="BR276" s="12"/>
    </row>
    <row r="277">
      <c r="AB277" s="12"/>
      <c r="AC277" s="12"/>
      <c r="AD277" s="12"/>
      <c r="AE277" s="12"/>
      <c r="AF277" s="12"/>
      <c r="AY277" s="12"/>
      <c r="AZ277" s="12"/>
      <c r="BA277" s="12"/>
      <c r="BB277" s="12"/>
      <c r="BO277" s="12"/>
      <c r="BP277" s="12"/>
      <c r="BQ277" s="12"/>
      <c r="BR277" s="12"/>
    </row>
    <row r="278">
      <c r="AB278" s="12"/>
      <c r="AC278" s="12"/>
      <c r="AD278" s="12"/>
      <c r="AE278" s="12"/>
      <c r="AF278" s="12"/>
      <c r="AY278" s="12"/>
      <c r="AZ278" s="12"/>
      <c r="BA278" s="12"/>
      <c r="BB278" s="12"/>
      <c r="BO278" s="12"/>
      <c r="BP278" s="12"/>
      <c r="BQ278" s="12"/>
      <c r="BR278" s="12"/>
    </row>
    <row r="279">
      <c r="AB279" s="12"/>
      <c r="AC279" s="12"/>
      <c r="AD279" s="12"/>
      <c r="AE279" s="12"/>
      <c r="AF279" s="12"/>
      <c r="AY279" s="12"/>
      <c r="AZ279" s="12"/>
      <c r="BA279" s="12"/>
      <c r="BB279" s="12"/>
      <c r="BO279" s="12"/>
      <c r="BP279" s="12"/>
      <c r="BQ279" s="12"/>
      <c r="BR279" s="12"/>
    </row>
    <row r="280">
      <c r="AB280" s="12"/>
      <c r="AC280" s="12"/>
      <c r="AD280" s="12"/>
      <c r="AE280" s="12"/>
      <c r="AF280" s="12"/>
      <c r="AY280" s="12"/>
      <c r="AZ280" s="12"/>
      <c r="BA280" s="12"/>
      <c r="BB280" s="12"/>
      <c r="BO280" s="12"/>
      <c r="BP280" s="12"/>
      <c r="BQ280" s="12"/>
      <c r="BR280" s="12"/>
    </row>
    <row r="281">
      <c r="AB281" s="12"/>
      <c r="AC281" s="12"/>
      <c r="AD281" s="12"/>
      <c r="AE281" s="12"/>
      <c r="AF281" s="12"/>
      <c r="AY281" s="12"/>
      <c r="AZ281" s="12"/>
      <c r="BA281" s="12"/>
      <c r="BB281" s="12"/>
      <c r="BO281" s="12"/>
      <c r="BP281" s="12"/>
      <c r="BQ281" s="12"/>
      <c r="BR281" s="12"/>
    </row>
    <row r="282">
      <c r="AB282" s="12"/>
      <c r="AC282" s="12"/>
      <c r="AD282" s="12"/>
      <c r="AE282" s="12"/>
      <c r="AF282" s="12"/>
      <c r="AY282" s="12"/>
      <c r="AZ282" s="12"/>
      <c r="BA282" s="12"/>
      <c r="BB282" s="12"/>
      <c r="BO282" s="12"/>
      <c r="BP282" s="12"/>
      <c r="BQ282" s="12"/>
      <c r="BR282" s="12"/>
    </row>
    <row r="283">
      <c r="AB283" s="12"/>
      <c r="AC283" s="12"/>
      <c r="AD283" s="12"/>
      <c r="AE283" s="12"/>
      <c r="AF283" s="12"/>
      <c r="AY283" s="12"/>
      <c r="AZ283" s="12"/>
      <c r="BA283" s="12"/>
      <c r="BB283" s="12"/>
      <c r="BO283" s="12"/>
      <c r="BP283" s="12"/>
      <c r="BQ283" s="12"/>
      <c r="BR283" s="12"/>
    </row>
    <row r="284">
      <c r="AB284" s="12"/>
      <c r="AC284" s="12"/>
      <c r="AD284" s="12"/>
      <c r="AE284" s="12"/>
      <c r="AF284" s="12"/>
      <c r="AY284" s="12"/>
      <c r="AZ284" s="12"/>
      <c r="BA284" s="12"/>
      <c r="BB284" s="12"/>
      <c r="BO284" s="12"/>
      <c r="BP284" s="12"/>
      <c r="BQ284" s="12"/>
      <c r="BR284" s="12"/>
    </row>
    <row r="285">
      <c r="AB285" s="12"/>
      <c r="AC285" s="12"/>
      <c r="AD285" s="12"/>
      <c r="AE285" s="12"/>
      <c r="AF285" s="12"/>
      <c r="AY285" s="12"/>
      <c r="AZ285" s="12"/>
      <c r="BA285" s="12"/>
      <c r="BB285" s="12"/>
      <c r="BO285" s="12"/>
      <c r="BP285" s="12"/>
      <c r="BQ285" s="12"/>
      <c r="BR285" s="12"/>
    </row>
    <row r="286">
      <c r="AB286" s="12"/>
      <c r="AC286" s="12"/>
      <c r="AD286" s="12"/>
      <c r="AE286" s="12"/>
      <c r="AF286" s="12"/>
      <c r="AY286" s="12"/>
      <c r="AZ286" s="12"/>
      <c r="BA286" s="12"/>
      <c r="BB286" s="12"/>
      <c r="BO286" s="12"/>
      <c r="BP286" s="12"/>
      <c r="BQ286" s="12"/>
      <c r="BR286" s="12"/>
    </row>
    <row r="287">
      <c r="AB287" s="12"/>
      <c r="AC287" s="12"/>
      <c r="AD287" s="12"/>
      <c r="AE287" s="12"/>
      <c r="AF287" s="12"/>
      <c r="AY287" s="12"/>
      <c r="AZ287" s="12"/>
      <c r="BA287" s="12"/>
      <c r="BB287" s="12"/>
      <c r="BO287" s="12"/>
      <c r="BP287" s="12"/>
      <c r="BQ287" s="12"/>
      <c r="BR287" s="12"/>
    </row>
    <row r="288">
      <c r="AB288" s="12"/>
      <c r="AC288" s="12"/>
      <c r="AD288" s="12"/>
      <c r="AE288" s="12"/>
      <c r="AF288" s="12"/>
      <c r="AY288" s="12"/>
      <c r="AZ288" s="12"/>
      <c r="BA288" s="12"/>
      <c r="BB288" s="12"/>
      <c r="BO288" s="12"/>
      <c r="BP288" s="12"/>
      <c r="BQ288" s="12"/>
      <c r="BR288" s="12"/>
    </row>
    <row r="289">
      <c r="AB289" s="12"/>
      <c r="AC289" s="12"/>
      <c r="AD289" s="12"/>
      <c r="AE289" s="12"/>
      <c r="AF289" s="12"/>
      <c r="AY289" s="12"/>
      <c r="AZ289" s="12"/>
      <c r="BA289" s="12"/>
      <c r="BB289" s="12"/>
      <c r="BO289" s="12"/>
      <c r="BP289" s="12"/>
      <c r="BQ289" s="12"/>
      <c r="BR289" s="12"/>
    </row>
    <row r="290">
      <c r="AB290" s="12"/>
      <c r="AC290" s="12"/>
      <c r="AD290" s="12"/>
      <c r="AE290" s="12"/>
      <c r="AF290" s="12"/>
      <c r="AY290" s="12"/>
      <c r="AZ290" s="12"/>
      <c r="BA290" s="12"/>
      <c r="BB290" s="12"/>
      <c r="BO290" s="12"/>
      <c r="BP290" s="12"/>
      <c r="BQ290" s="12"/>
      <c r="BR290" s="12"/>
    </row>
    <row r="291">
      <c r="AB291" s="12"/>
      <c r="AC291" s="12"/>
      <c r="AD291" s="12"/>
      <c r="AE291" s="12"/>
      <c r="AF291" s="12"/>
      <c r="AY291" s="12"/>
      <c r="AZ291" s="12"/>
      <c r="BA291" s="12"/>
      <c r="BB291" s="12"/>
      <c r="BO291" s="12"/>
      <c r="BP291" s="12"/>
      <c r="BQ291" s="12"/>
      <c r="BR291" s="12"/>
    </row>
    <row r="292">
      <c r="AB292" s="12"/>
      <c r="AC292" s="12"/>
      <c r="AD292" s="12"/>
      <c r="AE292" s="12"/>
      <c r="AF292" s="12"/>
      <c r="AY292" s="12"/>
      <c r="AZ292" s="12"/>
      <c r="BA292" s="12"/>
      <c r="BB292" s="12"/>
      <c r="BO292" s="12"/>
      <c r="BP292" s="12"/>
      <c r="BQ292" s="12"/>
      <c r="BR292" s="12"/>
    </row>
    <row r="293">
      <c r="AB293" s="12"/>
      <c r="AC293" s="12"/>
      <c r="AD293" s="12"/>
      <c r="AE293" s="12"/>
      <c r="AF293" s="12"/>
      <c r="AY293" s="12"/>
      <c r="AZ293" s="12"/>
      <c r="BA293" s="12"/>
      <c r="BB293" s="12"/>
      <c r="BO293" s="12"/>
      <c r="BP293" s="12"/>
      <c r="BQ293" s="12"/>
      <c r="BR293" s="12"/>
    </row>
    <row r="294">
      <c r="AB294" s="12"/>
      <c r="AC294" s="12"/>
      <c r="AD294" s="12"/>
      <c r="AE294" s="12"/>
      <c r="AF294" s="12"/>
      <c r="AY294" s="12"/>
      <c r="AZ294" s="12"/>
      <c r="BA294" s="12"/>
      <c r="BB294" s="12"/>
      <c r="BO294" s="12"/>
      <c r="BP294" s="12"/>
      <c r="BQ294" s="12"/>
      <c r="BR294" s="12"/>
    </row>
    <row r="295">
      <c r="AB295" s="12"/>
      <c r="AC295" s="12"/>
      <c r="AD295" s="12"/>
      <c r="AE295" s="12"/>
      <c r="AF295" s="12"/>
      <c r="AY295" s="12"/>
      <c r="AZ295" s="12"/>
      <c r="BA295" s="12"/>
      <c r="BB295" s="12"/>
      <c r="BO295" s="12"/>
      <c r="BP295" s="12"/>
      <c r="BQ295" s="12"/>
      <c r="BR295" s="12"/>
    </row>
    <row r="296">
      <c r="AB296" s="12"/>
      <c r="AC296" s="12"/>
      <c r="AD296" s="12"/>
      <c r="AE296" s="12"/>
      <c r="AF296" s="12"/>
      <c r="AY296" s="12"/>
      <c r="AZ296" s="12"/>
      <c r="BA296" s="12"/>
      <c r="BB296" s="12"/>
      <c r="BO296" s="12"/>
      <c r="BP296" s="12"/>
      <c r="BQ296" s="12"/>
      <c r="BR296" s="12"/>
    </row>
    <row r="297">
      <c r="AB297" s="12"/>
      <c r="AC297" s="12"/>
      <c r="AD297" s="12"/>
      <c r="AE297" s="12"/>
      <c r="AF297" s="12"/>
      <c r="AY297" s="12"/>
      <c r="AZ297" s="12"/>
      <c r="BA297" s="12"/>
      <c r="BB297" s="12"/>
      <c r="BO297" s="12"/>
      <c r="BP297" s="12"/>
      <c r="BQ297" s="12"/>
      <c r="BR297" s="12"/>
    </row>
    <row r="298">
      <c r="AB298" s="12"/>
      <c r="AC298" s="12"/>
      <c r="AD298" s="12"/>
      <c r="AE298" s="12"/>
      <c r="AF298" s="12"/>
      <c r="AY298" s="12"/>
      <c r="AZ298" s="12"/>
      <c r="BA298" s="12"/>
      <c r="BB298" s="12"/>
      <c r="BO298" s="12"/>
      <c r="BP298" s="12"/>
      <c r="BQ298" s="12"/>
      <c r="BR298" s="12"/>
    </row>
    <row r="299">
      <c r="AB299" s="12"/>
      <c r="AC299" s="12"/>
      <c r="AD299" s="12"/>
      <c r="AE299" s="12"/>
      <c r="AF299" s="12"/>
      <c r="AY299" s="12"/>
      <c r="AZ299" s="12"/>
      <c r="BA299" s="12"/>
      <c r="BB299" s="12"/>
      <c r="BO299" s="12"/>
      <c r="BP299" s="12"/>
      <c r="BQ299" s="12"/>
      <c r="BR299" s="12"/>
    </row>
    <row r="300">
      <c r="AB300" s="12"/>
      <c r="AC300" s="12"/>
      <c r="AD300" s="12"/>
      <c r="AE300" s="12"/>
      <c r="AF300" s="12"/>
      <c r="AY300" s="12"/>
      <c r="AZ300" s="12"/>
      <c r="BA300" s="12"/>
      <c r="BB300" s="12"/>
      <c r="BO300" s="12"/>
      <c r="BP300" s="12"/>
      <c r="BQ300" s="12"/>
      <c r="BR300" s="12"/>
    </row>
    <row r="301">
      <c r="AB301" s="12"/>
      <c r="AC301" s="12"/>
      <c r="AD301" s="12"/>
      <c r="AE301" s="12"/>
      <c r="AF301" s="12"/>
      <c r="AY301" s="12"/>
      <c r="AZ301" s="12"/>
      <c r="BA301" s="12"/>
      <c r="BB301" s="12"/>
      <c r="BO301" s="12"/>
      <c r="BP301" s="12"/>
      <c r="BQ301" s="12"/>
      <c r="BR301" s="12"/>
    </row>
    <row r="302">
      <c r="AB302" s="12"/>
      <c r="AC302" s="12"/>
      <c r="AD302" s="12"/>
      <c r="AE302" s="12"/>
      <c r="AF302" s="12"/>
      <c r="AY302" s="12"/>
      <c r="AZ302" s="12"/>
      <c r="BA302" s="12"/>
      <c r="BB302" s="12"/>
      <c r="BO302" s="12"/>
      <c r="BP302" s="12"/>
      <c r="BQ302" s="12"/>
      <c r="BR302" s="12"/>
    </row>
    <row r="303">
      <c r="AB303" s="12"/>
      <c r="AC303" s="12"/>
      <c r="AD303" s="12"/>
      <c r="AE303" s="12"/>
      <c r="AF303" s="12"/>
      <c r="AY303" s="12"/>
      <c r="AZ303" s="12"/>
      <c r="BA303" s="12"/>
      <c r="BB303" s="12"/>
      <c r="BO303" s="12"/>
      <c r="BP303" s="12"/>
      <c r="BQ303" s="12"/>
      <c r="BR303" s="12"/>
    </row>
    <row r="304">
      <c r="AB304" s="12"/>
      <c r="AC304" s="12"/>
      <c r="AD304" s="12"/>
      <c r="AE304" s="12"/>
      <c r="AF304" s="12"/>
      <c r="AY304" s="12"/>
      <c r="AZ304" s="12"/>
      <c r="BA304" s="12"/>
      <c r="BB304" s="12"/>
      <c r="BO304" s="12"/>
      <c r="BP304" s="12"/>
      <c r="BQ304" s="12"/>
      <c r="BR304" s="12"/>
    </row>
    <row r="305">
      <c r="AB305" s="12"/>
      <c r="AC305" s="12"/>
      <c r="AD305" s="12"/>
      <c r="AE305" s="12"/>
      <c r="AF305" s="12"/>
      <c r="AY305" s="12"/>
      <c r="AZ305" s="12"/>
      <c r="BA305" s="12"/>
      <c r="BB305" s="12"/>
      <c r="BO305" s="12"/>
      <c r="BP305" s="12"/>
      <c r="BQ305" s="12"/>
      <c r="BR305" s="12"/>
    </row>
    <row r="306">
      <c r="AB306" s="12"/>
      <c r="AC306" s="12"/>
      <c r="AD306" s="12"/>
      <c r="AE306" s="12"/>
      <c r="AF306" s="12"/>
      <c r="AY306" s="12"/>
      <c r="AZ306" s="12"/>
      <c r="BA306" s="12"/>
      <c r="BB306" s="12"/>
      <c r="BO306" s="12"/>
      <c r="BP306" s="12"/>
      <c r="BQ306" s="12"/>
      <c r="BR306" s="12"/>
    </row>
    <row r="307">
      <c r="AB307" s="12"/>
      <c r="AC307" s="12"/>
      <c r="AD307" s="12"/>
      <c r="AE307" s="12"/>
      <c r="AF307" s="12"/>
      <c r="AY307" s="12"/>
      <c r="AZ307" s="12"/>
      <c r="BA307" s="12"/>
      <c r="BB307" s="12"/>
      <c r="BO307" s="12"/>
      <c r="BP307" s="12"/>
      <c r="BQ307" s="12"/>
      <c r="BR307" s="12"/>
    </row>
    <row r="308">
      <c r="AB308" s="12"/>
      <c r="AC308" s="12"/>
      <c r="AD308" s="12"/>
      <c r="AE308" s="12"/>
      <c r="AF308" s="12"/>
      <c r="AY308" s="12"/>
      <c r="AZ308" s="12"/>
      <c r="BA308" s="12"/>
      <c r="BB308" s="12"/>
      <c r="BO308" s="12"/>
      <c r="BP308" s="12"/>
      <c r="BQ308" s="12"/>
      <c r="BR308" s="12"/>
    </row>
    <row r="309">
      <c r="AB309" s="12"/>
      <c r="AC309" s="12"/>
      <c r="AD309" s="12"/>
      <c r="AE309" s="12"/>
      <c r="AF309" s="12"/>
      <c r="AY309" s="12"/>
      <c r="AZ309" s="12"/>
      <c r="BA309" s="12"/>
      <c r="BB309" s="12"/>
      <c r="BO309" s="12"/>
      <c r="BP309" s="12"/>
      <c r="BQ309" s="12"/>
      <c r="BR309" s="12"/>
    </row>
    <row r="310">
      <c r="AB310" s="12"/>
      <c r="AC310" s="12"/>
      <c r="AD310" s="12"/>
      <c r="AE310" s="12"/>
      <c r="AF310" s="12"/>
      <c r="AY310" s="12"/>
      <c r="AZ310" s="12"/>
      <c r="BA310" s="12"/>
      <c r="BB310" s="12"/>
      <c r="BO310" s="12"/>
      <c r="BP310" s="12"/>
      <c r="BQ310" s="12"/>
      <c r="BR310" s="12"/>
    </row>
    <row r="311">
      <c r="AB311" s="12"/>
      <c r="AC311" s="12"/>
      <c r="AD311" s="12"/>
      <c r="AE311" s="12"/>
      <c r="AF311" s="12"/>
      <c r="AY311" s="12"/>
      <c r="AZ311" s="12"/>
      <c r="BA311" s="12"/>
      <c r="BB311" s="12"/>
      <c r="BO311" s="12"/>
      <c r="BP311" s="12"/>
      <c r="BQ311" s="12"/>
      <c r="BR311" s="12"/>
    </row>
    <row r="312">
      <c r="AB312" s="12"/>
      <c r="AC312" s="12"/>
      <c r="AD312" s="12"/>
      <c r="AE312" s="12"/>
      <c r="AF312" s="12"/>
      <c r="AY312" s="12"/>
      <c r="AZ312" s="12"/>
      <c r="BA312" s="12"/>
      <c r="BB312" s="12"/>
      <c r="BO312" s="12"/>
      <c r="BP312" s="12"/>
      <c r="BQ312" s="12"/>
      <c r="BR312" s="12"/>
    </row>
    <row r="313">
      <c r="AB313" s="12"/>
      <c r="AC313" s="12"/>
      <c r="AD313" s="12"/>
      <c r="AE313" s="12"/>
      <c r="AF313" s="12"/>
      <c r="AY313" s="12"/>
      <c r="AZ313" s="12"/>
      <c r="BA313" s="12"/>
      <c r="BB313" s="12"/>
      <c r="BO313" s="12"/>
      <c r="BP313" s="12"/>
      <c r="BQ313" s="12"/>
      <c r="BR313" s="12"/>
    </row>
    <row r="314">
      <c r="AB314" s="12"/>
      <c r="AC314" s="12"/>
      <c r="AD314" s="12"/>
      <c r="AE314" s="12"/>
      <c r="AF314" s="12"/>
      <c r="AY314" s="12"/>
      <c r="AZ314" s="12"/>
      <c r="BA314" s="12"/>
      <c r="BB314" s="12"/>
      <c r="BO314" s="12"/>
      <c r="BP314" s="12"/>
      <c r="BQ314" s="12"/>
      <c r="BR314" s="12"/>
    </row>
    <row r="315">
      <c r="AB315" s="12"/>
      <c r="AC315" s="12"/>
      <c r="AD315" s="12"/>
      <c r="AE315" s="12"/>
      <c r="AF315" s="12"/>
      <c r="AY315" s="12"/>
      <c r="AZ315" s="12"/>
      <c r="BA315" s="12"/>
      <c r="BB315" s="12"/>
      <c r="BO315" s="12"/>
      <c r="BP315" s="12"/>
      <c r="BQ315" s="12"/>
      <c r="BR315" s="12"/>
    </row>
    <row r="316">
      <c r="AB316" s="12"/>
      <c r="AC316" s="12"/>
      <c r="AD316" s="12"/>
      <c r="AE316" s="12"/>
      <c r="AF316" s="12"/>
      <c r="AY316" s="12"/>
      <c r="AZ316" s="12"/>
      <c r="BA316" s="12"/>
      <c r="BB316" s="12"/>
      <c r="BO316" s="12"/>
      <c r="BP316" s="12"/>
      <c r="BQ316" s="12"/>
      <c r="BR316" s="12"/>
    </row>
    <row r="317">
      <c r="AB317" s="12"/>
      <c r="AC317" s="12"/>
      <c r="AD317" s="12"/>
      <c r="AE317" s="12"/>
      <c r="AF317" s="12"/>
      <c r="AY317" s="12"/>
      <c r="AZ317" s="12"/>
      <c r="BA317" s="12"/>
      <c r="BB317" s="12"/>
      <c r="BO317" s="12"/>
      <c r="BP317" s="12"/>
      <c r="BQ317" s="12"/>
      <c r="BR317" s="12"/>
    </row>
    <row r="318">
      <c r="AB318" s="12"/>
      <c r="AC318" s="12"/>
      <c r="AD318" s="12"/>
      <c r="AE318" s="12"/>
      <c r="AF318" s="12"/>
      <c r="AY318" s="12"/>
      <c r="AZ318" s="12"/>
      <c r="BA318" s="12"/>
      <c r="BB318" s="12"/>
      <c r="BO318" s="12"/>
      <c r="BP318" s="12"/>
      <c r="BQ318" s="12"/>
      <c r="BR318" s="12"/>
    </row>
    <row r="319">
      <c r="AB319" s="12"/>
      <c r="AC319" s="12"/>
      <c r="AD319" s="12"/>
      <c r="AE319" s="12"/>
      <c r="AF319" s="12"/>
      <c r="AY319" s="12"/>
      <c r="AZ319" s="12"/>
      <c r="BA319" s="12"/>
      <c r="BB319" s="12"/>
      <c r="BO319" s="12"/>
      <c r="BP319" s="12"/>
      <c r="BQ319" s="12"/>
      <c r="BR319" s="12"/>
    </row>
    <row r="320">
      <c r="AB320" s="12"/>
      <c r="AC320" s="12"/>
      <c r="AD320" s="12"/>
      <c r="AE320" s="12"/>
      <c r="AF320" s="12"/>
      <c r="AY320" s="12"/>
      <c r="AZ320" s="12"/>
      <c r="BA320" s="12"/>
      <c r="BB320" s="12"/>
      <c r="BO320" s="12"/>
      <c r="BP320" s="12"/>
      <c r="BQ320" s="12"/>
      <c r="BR320" s="12"/>
    </row>
    <row r="321">
      <c r="AB321" s="12"/>
      <c r="AC321" s="12"/>
      <c r="AD321" s="12"/>
      <c r="AE321" s="12"/>
      <c r="AF321" s="12"/>
      <c r="AY321" s="12"/>
      <c r="AZ321" s="12"/>
      <c r="BA321" s="12"/>
      <c r="BB321" s="12"/>
      <c r="BO321" s="12"/>
      <c r="BP321" s="12"/>
      <c r="BQ321" s="12"/>
      <c r="BR321" s="12"/>
    </row>
    <row r="322">
      <c r="AB322" s="12"/>
      <c r="AC322" s="12"/>
      <c r="AD322" s="12"/>
      <c r="AE322" s="12"/>
      <c r="AF322" s="12"/>
      <c r="AY322" s="12"/>
      <c r="AZ322" s="12"/>
      <c r="BA322" s="12"/>
      <c r="BB322" s="12"/>
      <c r="BO322" s="12"/>
      <c r="BP322" s="12"/>
      <c r="BQ322" s="12"/>
      <c r="BR322" s="12"/>
    </row>
    <row r="323">
      <c r="AB323" s="12"/>
      <c r="AC323" s="12"/>
      <c r="AD323" s="12"/>
      <c r="AE323" s="12"/>
      <c r="AF323" s="12"/>
      <c r="AY323" s="12"/>
      <c r="AZ323" s="12"/>
      <c r="BA323" s="12"/>
      <c r="BB323" s="12"/>
      <c r="BO323" s="12"/>
      <c r="BP323" s="12"/>
      <c r="BQ323" s="12"/>
      <c r="BR323" s="12"/>
    </row>
    <row r="324">
      <c r="AB324" s="12"/>
      <c r="AC324" s="12"/>
      <c r="AD324" s="12"/>
      <c r="AE324" s="12"/>
      <c r="AF324" s="12"/>
      <c r="AY324" s="12"/>
      <c r="AZ324" s="12"/>
      <c r="BA324" s="12"/>
      <c r="BB324" s="12"/>
      <c r="BO324" s="12"/>
      <c r="BP324" s="12"/>
      <c r="BQ324" s="12"/>
      <c r="BR324" s="12"/>
    </row>
    <row r="325">
      <c r="AB325" s="12"/>
      <c r="AC325" s="12"/>
      <c r="AD325" s="12"/>
      <c r="AE325" s="12"/>
      <c r="AF325" s="12"/>
      <c r="AY325" s="12"/>
      <c r="AZ325" s="12"/>
      <c r="BA325" s="12"/>
      <c r="BB325" s="12"/>
      <c r="BO325" s="12"/>
      <c r="BP325" s="12"/>
      <c r="BQ325" s="12"/>
      <c r="BR325" s="12"/>
    </row>
    <row r="326">
      <c r="AB326" s="12"/>
      <c r="AC326" s="12"/>
      <c r="AD326" s="12"/>
      <c r="AE326" s="12"/>
      <c r="AF326" s="12"/>
      <c r="AY326" s="12"/>
      <c r="AZ326" s="12"/>
      <c r="BA326" s="12"/>
      <c r="BB326" s="12"/>
      <c r="BO326" s="12"/>
      <c r="BP326" s="12"/>
      <c r="BQ326" s="12"/>
      <c r="BR326" s="12"/>
    </row>
    <row r="327">
      <c r="AB327" s="12"/>
      <c r="AC327" s="12"/>
      <c r="AD327" s="12"/>
      <c r="AE327" s="12"/>
      <c r="AF327" s="12"/>
      <c r="AY327" s="12"/>
      <c r="AZ327" s="12"/>
      <c r="BA327" s="12"/>
      <c r="BB327" s="12"/>
      <c r="BO327" s="12"/>
      <c r="BP327" s="12"/>
      <c r="BQ327" s="12"/>
      <c r="BR327" s="12"/>
    </row>
    <row r="328">
      <c r="AB328" s="12"/>
      <c r="AC328" s="12"/>
      <c r="AD328" s="12"/>
      <c r="AE328" s="12"/>
      <c r="AF328" s="12"/>
      <c r="AY328" s="12"/>
      <c r="AZ328" s="12"/>
      <c r="BA328" s="12"/>
      <c r="BB328" s="12"/>
      <c r="BO328" s="12"/>
      <c r="BP328" s="12"/>
      <c r="BQ328" s="12"/>
      <c r="BR328" s="12"/>
    </row>
    <row r="329">
      <c r="AB329" s="12"/>
      <c r="AC329" s="12"/>
      <c r="AD329" s="12"/>
      <c r="AE329" s="12"/>
      <c r="AF329" s="12"/>
      <c r="AY329" s="12"/>
      <c r="AZ329" s="12"/>
      <c r="BA329" s="12"/>
      <c r="BB329" s="12"/>
      <c r="BO329" s="12"/>
      <c r="BP329" s="12"/>
      <c r="BQ329" s="12"/>
      <c r="BR329" s="12"/>
    </row>
    <row r="330">
      <c r="AB330" s="12"/>
      <c r="AC330" s="12"/>
      <c r="AD330" s="12"/>
      <c r="AE330" s="12"/>
      <c r="AF330" s="12"/>
      <c r="AY330" s="12"/>
      <c r="AZ330" s="12"/>
      <c r="BA330" s="12"/>
      <c r="BB330" s="12"/>
      <c r="BO330" s="12"/>
      <c r="BP330" s="12"/>
      <c r="BQ330" s="12"/>
      <c r="BR330" s="12"/>
    </row>
    <row r="331">
      <c r="AB331" s="12"/>
      <c r="AC331" s="12"/>
      <c r="AD331" s="12"/>
      <c r="AE331" s="12"/>
      <c r="AF331" s="12"/>
      <c r="AY331" s="12"/>
      <c r="AZ331" s="12"/>
      <c r="BA331" s="12"/>
      <c r="BB331" s="12"/>
      <c r="BO331" s="12"/>
      <c r="BP331" s="12"/>
      <c r="BQ331" s="12"/>
      <c r="BR331" s="12"/>
    </row>
    <row r="332">
      <c r="AB332" s="12"/>
      <c r="AC332" s="12"/>
      <c r="AD332" s="12"/>
      <c r="AE332" s="12"/>
      <c r="AF332" s="12"/>
      <c r="AY332" s="12"/>
      <c r="AZ332" s="12"/>
      <c r="BA332" s="12"/>
      <c r="BB332" s="12"/>
      <c r="BO332" s="12"/>
      <c r="BP332" s="12"/>
      <c r="BQ332" s="12"/>
      <c r="BR332" s="12"/>
    </row>
    <row r="333">
      <c r="AB333" s="12"/>
      <c r="AC333" s="12"/>
      <c r="AD333" s="12"/>
      <c r="AE333" s="12"/>
      <c r="AF333" s="12"/>
      <c r="AY333" s="12"/>
      <c r="AZ333" s="12"/>
      <c r="BA333" s="12"/>
      <c r="BB333" s="12"/>
      <c r="BO333" s="12"/>
      <c r="BP333" s="12"/>
      <c r="BQ333" s="12"/>
      <c r="BR333" s="12"/>
    </row>
    <row r="334">
      <c r="AB334" s="12"/>
      <c r="AC334" s="12"/>
      <c r="AD334" s="12"/>
      <c r="AE334" s="12"/>
      <c r="AF334" s="12"/>
      <c r="AY334" s="12"/>
      <c r="AZ334" s="12"/>
      <c r="BA334" s="12"/>
      <c r="BB334" s="12"/>
      <c r="BO334" s="12"/>
      <c r="BP334" s="12"/>
      <c r="BQ334" s="12"/>
      <c r="BR334" s="12"/>
    </row>
    <row r="335">
      <c r="AB335" s="12"/>
      <c r="AC335" s="12"/>
      <c r="AD335" s="12"/>
      <c r="AE335" s="12"/>
      <c r="AF335" s="12"/>
      <c r="AY335" s="12"/>
      <c r="AZ335" s="12"/>
      <c r="BA335" s="12"/>
      <c r="BB335" s="12"/>
      <c r="BO335" s="12"/>
      <c r="BP335" s="12"/>
      <c r="BQ335" s="12"/>
      <c r="BR335" s="12"/>
    </row>
    <row r="336">
      <c r="AB336" s="12"/>
      <c r="AC336" s="12"/>
      <c r="AD336" s="12"/>
      <c r="AE336" s="12"/>
      <c r="AF336" s="12"/>
      <c r="AY336" s="12"/>
      <c r="AZ336" s="12"/>
      <c r="BA336" s="12"/>
      <c r="BB336" s="12"/>
      <c r="BO336" s="12"/>
      <c r="BP336" s="12"/>
      <c r="BQ336" s="12"/>
      <c r="BR336" s="12"/>
    </row>
    <row r="337">
      <c r="AB337" s="12"/>
      <c r="AC337" s="12"/>
      <c r="AD337" s="12"/>
      <c r="AE337" s="12"/>
      <c r="AF337" s="12"/>
      <c r="AY337" s="12"/>
      <c r="AZ337" s="12"/>
      <c r="BA337" s="12"/>
      <c r="BB337" s="12"/>
      <c r="BO337" s="12"/>
      <c r="BP337" s="12"/>
      <c r="BQ337" s="12"/>
      <c r="BR337" s="12"/>
    </row>
    <row r="338">
      <c r="AB338" s="12"/>
      <c r="AC338" s="12"/>
      <c r="AD338" s="12"/>
      <c r="AE338" s="12"/>
      <c r="AF338" s="12"/>
      <c r="AY338" s="12"/>
      <c r="AZ338" s="12"/>
      <c r="BA338" s="12"/>
      <c r="BB338" s="12"/>
      <c r="BO338" s="12"/>
      <c r="BP338" s="12"/>
      <c r="BQ338" s="12"/>
      <c r="BR338" s="12"/>
    </row>
    <row r="339">
      <c r="AB339" s="12"/>
      <c r="AC339" s="12"/>
      <c r="AD339" s="12"/>
      <c r="AE339" s="12"/>
      <c r="AF339" s="12"/>
      <c r="AY339" s="12"/>
      <c r="AZ339" s="12"/>
      <c r="BA339" s="12"/>
      <c r="BB339" s="12"/>
      <c r="BO339" s="12"/>
      <c r="BP339" s="12"/>
      <c r="BQ339" s="12"/>
      <c r="BR339" s="12"/>
    </row>
    <row r="340">
      <c r="AB340" s="12"/>
      <c r="AC340" s="12"/>
      <c r="AD340" s="12"/>
      <c r="AE340" s="12"/>
      <c r="AF340" s="12"/>
      <c r="AY340" s="12"/>
      <c r="AZ340" s="12"/>
      <c r="BA340" s="12"/>
      <c r="BB340" s="12"/>
      <c r="BO340" s="12"/>
      <c r="BP340" s="12"/>
      <c r="BQ340" s="12"/>
      <c r="BR340" s="12"/>
    </row>
    <row r="341">
      <c r="AB341" s="12"/>
      <c r="AC341" s="12"/>
      <c r="AD341" s="12"/>
      <c r="AE341" s="12"/>
      <c r="AF341" s="12"/>
      <c r="AY341" s="12"/>
      <c r="AZ341" s="12"/>
      <c r="BA341" s="12"/>
      <c r="BB341" s="12"/>
      <c r="BO341" s="12"/>
      <c r="BP341" s="12"/>
      <c r="BQ341" s="12"/>
      <c r="BR341" s="12"/>
    </row>
    <row r="342">
      <c r="AB342" s="12"/>
      <c r="AC342" s="12"/>
      <c r="AD342" s="12"/>
      <c r="AE342" s="12"/>
      <c r="AF342" s="12"/>
      <c r="AY342" s="12"/>
      <c r="AZ342" s="12"/>
      <c r="BA342" s="12"/>
      <c r="BB342" s="12"/>
      <c r="BO342" s="12"/>
      <c r="BP342" s="12"/>
      <c r="BQ342" s="12"/>
      <c r="BR342" s="12"/>
    </row>
    <row r="343">
      <c r="AB343" s="12"/>
      <c r="AC343" s="12"/>
      <c r="AD343" s="12"/>
      <c r="AE343" s="12"/>
      <c r="AF343" s="12"/>
      <c r="AY343" s="12"/>
      <c r="AZ343" s="12"/>
      <c r="BA343" s="12"/>
      <c r="BB343" s="12"/>
      <c r="BO343" s="12"/>
      <c r="BP343" s="12"/>
      <c r="BQ343" s="12"/>
      <c r="BR343" s="12"/>
    </row>
    <row r="344">
      <c r="AB344" s="12"/>
      <c r="AC344" s="12"/>
      <c r="AD344" s="12"/>
      <c r="AE344" s="12"/>
      <c r="AF344" s="12"/>
      <c r="AY344" s="12"/>
      <c r="AZ344" s="12"/>
      <c r="BA344" s="12"/>
      <c r="BB344" s="12"/>
      <c r="BO344" s="12"/>
      <c r="BP344" s="12"/>
      <c r="BQ344" s="12"/>
      <c r="BR344" s="12"/>
    </row>
    <row r="345">
      <c r="AB345" s="12"/>
      <c r="AC345" s="12"/>
      <c r="AD345" s="12"/>
      <c r="AE345" s="12"/>
      <c r="AF345" s="12"/>
      <c r="AY345" s="12"/>
      <c r="AZ345" s="12"/>
      <c r="BA345" s="12"/>
      <c r="BB345" s="12"/>
      <c r="BO345" s="12"/>
      <c r="BP345" s="12"/>
      <c r="BQ345" s="12"/>
      <c r="BR345" s="12"/>
    </row>
    <row r="346">
      <c r="AB346" s="12"/>
      <c r="AC346" s="12"/>
      <c r="AD346" s="12"/>
      <c r="AE346" s="12"/>
      <c r="AF346" s="12"/>
      <c r="AY346" s="12"/>
      <c r="AZ346" s="12"/>
      <c r="BA346" s="12"/>
      <c r="BB346" s="12"/>
      <c r="BO346" s="12"/>
      <c r="BP346" s="12"/>
      <c r="BQ346" s="12"/>
      <c r="BR346" s="12"/>
    </row>
    <row r="347">
      <c r="AB347" s="12"/>
      <c r="AC347" s="12"/>
      <c r="AD347" s="12"/>
      <c r="AE347" s="12"/>
      <c r="AF347" s="12"/>
      <c r="AY347" s="12"/>
      <c r="AZ347" s="12"/>
      <c r="BA347" s="12"/>
      <c r="BB347" s="12"/>
      <c r="BO347" s="12"/>
      <c r="BP347" s="12"/>
      <c r="BQ347" s="12"/>
      <c r="BR347" s="12"/>
    </row>
    <row r="348">
      <c r="AB348" s="12"/>
      <c r="AC348" s="12"/>
      <c r="AD348" s="12"/>
      <c r="AE348" s="12"/>
      <c r="AF348" s="12"/>
      <c r="AY348" s="12"/>
      <c r="AZ348" s="12"/>
      <c r="BA348" s="12"/>
      <c r="BB348" s="12"/>
      <c r="BO348" s="12"/>
      <c r="BP348" s="12"/>
      <c r="BQ348" s="12"/>
      <c r="BR348" s="12"/>
    </row>
    <row r="349">
      <c r="AB349" s="12"/>
      <c r="AC349" s="12"/>
      <c r="AD349" s="12"/>
      <c r="AE349" s="12"/>
      <c r="AF349" s="12"/>
      <c r="AY349" s="12"/>
      <c r="AZ349" s="12"/>
      <c r="BA349" s="12"/>
      <c r="BB349" s="12"/>
      <c r="BO349" s="12"/>
      <c r="BP349" s="12"/>
      <c r="BQ349" s="12"/>
      <c r="BR349" s="12"/>
    </row>
    <row r="350">
      <c r="AB350" s="12"/>
      <c r="AC350" s="12"/>
      <c r="AD350" s="12"/>
      <c r="AE350" s="12"/>
      <c r="AF350" s="12"/>
      <c r="AY350" s="12"/>
      <c r="AZ350" s="12"/>
      <c r="BA350" s="12"/>
      <c r="BB350" s="12"/>
      <c r="BO350" s="12"/>
      <c r="BP350" s="12"/>
      <c r="BQ350" s="12"/>
      <c r="BR350" s="12"/>
    </row>
    <row r="351">
      <c r="AB351" s="12"/>
      <c r="AC351" s="12"/>
      <c r="AD351" s="12"/>
      <c r="AE351" s="12"/>
      <c r="AF351" s="12"/>
      <c r="AY351" s="12"/>
      <c r="AZ351" s="12"/>
      <c r="BA351" s="12"/>
      <c r="BB351" s="12"/>
      <c r="BO351" s="12"/>
      <c r="BP351" s="12"/>
      <c r="BQ351" s="12"/>
      <c r="BR351" s="12"/>
    </row>
    <row r="352">
      <c r="AB352" s="12"/>
      <c r="AC352" s="12"/>
      <c r="AD352" s="12"/>
      <c r="AE352" s="12"/>
      <c r="AF352" s="12"/>
      <c r="AY352" s="12"/>
      <c r="AZ352" s="12"/>
      <c r="BA352" s="12"/>
      <c r="BB352" s="12"/>
      <c r="BO352" s="12"/>
      <c r="BP352" s="12"/>
      <c r="BQ352" s="12"/>
      <c r="BR352" s="12"/>
    </row>
    <row r="353">
      <c r="AB353" s="12"/>
      <c r="AC353" s="12"/>
      <c r="AD353" s="12"/>
      <c r="AE353" s="12"/>
      <c r="AF353" s="12"/>
      <c r="AY353" s="12"/>
      <c r="AZ353" s="12"/>
      <c r="BA353" s="12"/>
      <c r="BB353" s="12"/>
      <c r="BO353" s="12"/>
      <c r="BP353" s="12"/>
      <c r="BQ353" s="12"/>
      <c r="BR353" s="12"/>
    </row>
    <row r="354">
      <c r="AB354" s="12"/>
      <c r="AC354" s="12"/>
      <c r="AD354" s="12"/>
      <c r="AE354" s="12"/>
      <c r="AF354" s="12"/>
      <c r="AY354" s="12"/>
      <c r="AZ354" s="12"/>
      <c r="BA354" s="12"/>
      <c r="BB354" s="12"/>
      <c r="BO354" s="12"/>
      <c r="BP354" s="12"/>
      <c r="BQ354" s="12"/>
      <c r="BR354" s="12"/>
    </row>
    <row r="355">
      <c r="AB355" s="12"/>
      <c r="AC355" s="12"/>
      <c r="AD355" s="12"/>
      <c r="AE355" s="12"/>
      <c r="AF355" s="12"/>
      <c r="AY355" s="12"/>
      <c r="AZ355" s="12"/>
      <c r="BA355" s="12"/>
      <c r="BB355" s="12"/>
      <c r="BO355" s="12"/>
      <c r="BP355" s="12"/>
      <c r="BQ355" s="12"/>
      <c r="BR355" s="12"/>
    </row>
    <row r="356">
      <c r="AB356" s="12"/>
      <c r="AC356" s="12"/>
      <c r="AD356" s="12"/>
      <c r="AE356" s="12"/>
      <c r="AF356" s="12"/>
      <c r="AY356" s="12"/>
      <c r="AZ356" s="12"/>
      <c r="BA356" s="12"/>
      <c r="BB356" s="12"/>
      <c r="BO356" s="12"/>
      <c r="BP356" s="12"/>
      <c r="BQ356" s="12"/>
      <c r="BR356" s="12"/>
    </row>
    <row r="357">
      <c r="AB357" s="12"/>
      <c r="AC357" s="12"/>
      <c r="AD357" s="12"/>
      <c r="AE357" s="12"/>
      <c r="AF357" s="12"/>
      <c r="AY357" s="12"/>
      <c r="AZ357" s="12"/>
      <c r="BA357" s="12"/>
      <c r="BB357" s="12"/>
      <c r="BO357" s="12"/>
      <c r="BP357" s="12"/>
      <c r="BQ357" s="12"/>
      <c r="BR357" s="12"/>
    </row>
    <row r="358">
      <c r="AB358" s="12"/>
      <c r="AC358" s="12"/>
      <c r="AD358" s="12"/>
      <c r="AE358" s="12"/>
      <c r="AF358" s="12"/>
      <c r="AY358" s="12"/>
      <c r="AZ358" s="12"/>
      <c r="BA358" s="12"/>
      <c r="BB358" s="12"/>
      <c r="BO358" s="12"/>
      <c r="BP358" s="12"/>
      <c r="BQ358" s="12"/>
      <c r="BR358" s="12"/>
    </row>
    <row r="359">
      <c r="AB359" s="12"/>
      <c r="AC359" s="12"/>
      <c r="AD359" s="12"/>
      <c r="AE359" s="12"/>
      <c r="AF359" s="12"/>
      <c r="AY359" s="12"/>
      <c r="AZ359" s="12"/>
      <c r="BA359" s="12"/>
      <c r="BB359" s="12"/>
      <c r="BO359" s="12"/>
      <c r="BP359" s="12"/>
      <c r="BQ359" s="12"/>
      <c r="BR359" s="12"/>
    </row>
    <row r="360">
      <c r="AB360" s="12"/>
      <c r="AC360" s="12"/>
      <c r="AD360" s="12"/>
      <c r="AE360" s="12"/>
      <c r="AF360" s="12"/>
      <c r="AY360" s="12"/>
      <c r="AZ360" s="12"/>
      <c r="BA360" s="12"/>
      <c r="BB360" s="12"/>
      <c r="BO360" s="12"/>
      <c r="BP360" s="12"/>
      <c r="BQ360" s="12"/>
      <c r="BR360" s="12"/>
    </row>
    <row r="361">
      <c r="AB361" s="12"/>
      <c r="AC361" s="12"/>
      <c r="AD361" s="12"/>
      <c r="AE361" s="12"/>
      <c r="AF361" s="12"/>
      <c r="AY361" s="12"/>
      <c r="AZ361" s="12"/>
      <c r="BA361" s="12"/>
      <c r="BB361" s="12"/>
      <c r="BO361" s="12"/>
      <c r="BP361" s="12"/>
      <c r="BQ361" s="12"/>
      <c r="BR361" s="12"/>
    </row>
    <row r="362">
      <c r="AB362" s="12"/>
      <c r="AC362" s="12"/>
      <c r="AD362" s="12"/>
      <c r="AE362" s="12"/>
      <c r="AF362" s="12"/>
      <c r="AY362" s="12"/>
      <c r="AZ362" s="12"/>
      <c r="BA362" s="12"/>
      <c r="BB362" s="12"/>
      <c r="BO362" s="12"/>
      <c r="BP362" s="12"/>
      <c r="BQ362" s="12"/>
      <c r="BR362" s="12"/>
    </row>
    <row r="363">
      <c r="AB363" s="12"/>
      <c r="AC363" s="12"/>
      <c r="AD363" s="12"/>
      <c r="AE363" s="12"/>
      <c r="AF363" s="12"/>
      <c r="AY363" s="12"/>
      <c r="AZ363" s="12"/>
      <c r="BA363" s="12"/>
      <c r="BB363" s="12"/>
      <c r="BO363" s="12"/>
      <c r="BP363" s="12"/>
      <c r="BQ363" s="12"/>
      <c r="BR363" s="12"/>
    </row>
    <row r="364">
      <c r="AB364" s="12"/>
      <c r="AC364" s="12"/>
      <c r="AD364" s="12"/>
      <c r="AE364" s="12"/>
      <c r="AF364" s="12"/>
      <c r="AY364" s="12"/>
      <c r="AZ364" s="12"/>
      <c r="BA364" s="12"/>
      <c r="BB364" s="12"/>
      <c r="BO364" s="12"/>
      <c r="BP364" s="12"/>
      <c r="BQ364" s="12"/>
      <c r="BR364" s="12"/>
    </row>
    <row r="365">
      <c r="AB365" s="12"/>
      <c r="AC365" s="12"/>
      <c r="AD365" s="12"/>
      <c r="AE365" s="12"/>
      <c r="AF365" s="12"/>
      <c r="AY365" s="12"/>
      <c r="AZ365" s="12"/>
      <c r="BA365" s="12"/>
      <c r="BB365" s="12"/>
      <c r="BO365" s="12"/>
      <c r="BP365" s="12"/>
      <c r="BQ365" s="12"/>
      <c r="BR365" s="12"/>
    </row>
    <row r="366">
      <c r="AB366" s="12"/>
      <c r="AC366" s="12"/>
      <c r="AD366" s="12"/>
      <c r="AE366" s="12"/>
      <c r="AF366" s="12"/>
      <c r="AY366" s="12"/>
      <c r="AZ366" s="12"/>
      <c r="BA366" s="12"/>
      <c r="BB366" s="12"/>
      <c r="BO366" s="12"/>
      <c r="BP366" s="12"/>
      <c r="BQ366" s="12"/>
      <c r="BR366" s="12"/>
    </row>
    <row r="367">
      <c r="AB367" s="12"/>
      <c r="AC367" s="12"/>
      <c r="AD367" s="12"/>
      <c r="AE367" s="12"/>
      <c r="AF367" s="12"/>
      <c r="AY367" s="12"/>
      <c r="AZ367" s="12"/>
      <c r="BA367" s="12"/>
      <c r="BB367" s="12"/>
      <c r="BO367" s="12"/>
      <c r="BP367" s="12"/>
      <c r="BQ367" s="12"/>
      <c r="BR367" s="12"/>
    </row>
    <row r="368">
      <c r="AB368" s="12"/>
      <c r="AC368" s="12"/>
      <c r="AD368" s="12"/>
      <c r="AE368" s="12"/>
      <c r="AF368" s="12"/>
      <c r="AY368" s="12"/>
      <c r="AZ368" s="12"/>
      <c r="BA368" s="12"/>
      <c r="BB368" s="12"/>
      <c r="BO368" s="12"/>
      <c r="BP368" s="12"/>
      <c r="BQ368" s="12"/>
      <c r="BR368" s="12"/>
    </row>
    <row r="369">
      <c r="AB369" s="12"/>
      <c r="AC369" s="12"/>
      <c r="AD369" s="12"/>
      <c r="AE369" s="12"/>
      <c r="AF369" s="12"/>
      <c r="AY369" s="12"/>
      <c r="AZ369" s="12"/>
      <c r="BA369" s="12"/>
      <c r="BB369" s="12"/>
      <c r="BO369" s="12"/>
      <c r="BP369" s="12"/>
      <c r="BQ369" s="12"/>
      <c r="BR369" s="12"/>
    </row>
    <row r="370">
      <c r="AB370" s="12"/>
      <c r="AC370" s="12"/>
      <c r="AD370" s="12"/>
      <c r="AE370" s="12"/>
      <c r="AF370" s="12"/>
      <c r="AY370" s="12"/>
      <c r="AZ370" s="12"/>
      <c r="BA370" s="12"/>
      <c r="BB370" s="12"/>
      <c r="BO370" s="12"/>
      <c r="BP370" s="12"/>
      <c r="BQ370" s="12"/>
      <c r="BR370" s="12"/>
    </row>
    <row r="371">
      <c r="AB371" s="12"/>
      <c r="AC371" s="12"/>
      <c r="AD371" s="12"/>
      <c r="AE371" s="12"/>
      <c r="AF371" s="12"/>
      <c r="AY371" s="12"/>
      <c r="AZ371" s="12"/>
      <c r="BA371" s="12"/>
      <c r="BB371" s="12"/>
      <c r="BO371" s="12"/>
      <c r="BP371" s="12"/>
      <c r="BQ371" s="12"/>
      <c r="BR371" s="12"/>
    </row>
    <row r="372">
      <c r="AB372" s="12"/>
      <c r="AC372" s="12"/>
      <c r="AD372" s="12"/>
      <c r="AE372" s="12"/>
      <c r="AF372" s="12"/>
      <c r="AY372" s="12"/>
      <c r="AZ372" s="12"/>
      <c r="BA372" s="12"/>
      <c r="BB372" s="12"/>
      <c r="BO372" s="12"/>
      <c r="BP372" s="12"/>
      <c r="BQ372" s="12"/>
      <c r="BR372" s="12"/>
    </row>
    <row r="373">
      <c r="AB373" s="12"/>
      <c r="AC373" s="12"/>
      <c r="AD373" s="12"/>
      <c r="AE373" s="12"/>
      <c r="AF373" s="12"/>
      <c r="AY373" s="12"/>
      <c r="AZ373" s="12"/>
      <c r="BA373" s="12"/>
      <c r="BB373" s="12"/>
      <c r="BO373" s="12"/>
      <c r="BP373" s="12"/>
      <c r="BQ373" s="12"/>
      <c r="BR373" s="12"/>
    </row>
    <row r="374">
      <c r="AB374" s="12"/>
      <c r="AC374" s="12"/>
      <c r="AD374" s="12"/>
      <c r="AE374" s="12"/>
      <c r="AF374" s="12"/>
      <c r="AY374" s="12"/>
      <c r="AZ374" s="12"/>
      <c r="BA374" s="12"/>
      <c r="BB374" s="12"/>
      <c r="BO374" s="12"/>
      <c r="BP374" s="12"/>
      <c r="BQ374" s="12"/>
      <c r="BR374" s="12"/>
    </row>
    <row r="375">
      <c r="AB375" s="12"/>
      <c r="AC375" s="12"/>
      <c r="AD375" s="12"/>
      <c r="AE375" s="12"/>
      <c r="AF375" s="12"/>
      <c r="AY375" s="12"/>
      <c r="AZ375" s="12"/>
      <c r="BA375" s="12"/>
      <c r="BB375" s="12"/>
      <c r="BO375" s="12"/>
      <c r="BP375" s="12"/>
      <c r="BQ375" s="12"/>
      <c r="BR375" s="12"/>
    </row>
    <row r="376">
      <c r="AB376" s="12"/>
      <c r="AC376" s="12"/>
      <c r="AD376" s="12"/>
      <c r="AE376" s="12"/>
      <c r="AF376" s="12"/>
      <c r="AY376" s="12"/>
      <c r="AZ376" s="12"/>
      <c r="BA376" s="12"/>
      <c r="BB376" s="12"/>
      <c r="BO376" s="12"/>
      <c r="BP376" s="12"/>
      <c r="BQ376" s="12"/>
      <c r="BR376" s="12"/>
    </row>
    <row r="377">
      <c r="AB377" s="12"/>
      <c r="AC377" s="12"/>
      <c r="AD377" s="12"/>
      <c r="AE377" s="12"/>
      <c r="AF377" s="12"/>
      <c r="AY377" s="12"/>
      <c r="AZ377" s="12"/>
      <c r="BA377" s="12"/>
      <c r="BB377" s="12"/>
      <c r="BO377" s="12"/>
      <c r="BP377" s="12"/>
      <c r="BQ377" s="12"/>
      <c r="BR377" s="12"/>
    </row>
    <row r="378">
      <c r="AB378" s="12"/>
      <c r="AC378" s="12"/>
      <c r="AD378" s="12"/>
      <c r="AE378" s="12"/>
      <c r="AF378" s="12"/>
      <c r="AY378" s="12"/>
      <c r="AZ378" s="12"/>
      <c r="BA378" s="12"/>
      <c r="BB378" s="12"/>
      <c r="BO378" s="12"/>
      <c r="BP378" s="12"/>
      <c r="BQ378" s="12"/>
      <c r="BR378" s="12"/>
    </row>
    <row r="379">
      <c r="AB379" s="12"/>
      <c r="AC379" s="12"/>
      <c r="AD379" s="12"/>
      <c r="AE379" s="12"/>
      <c r="AF379" s="12"/>
      <c r="AY379" s="12"/>
      <c r="AZ379" s="12"/>
      <c r="BA379" s="12"/>
      <c r="BB379" s="12"/>
      <c r="BO379" s="12"/>
      <c r="BP379" s="12"/>
      <c r="BQ379" s="12"/>
      <c r="BR379" s="12"/>
    </row>
    <row r="380">
      <c r="AB380" s="12"/>
      <c r="AC380" s="12"/>
      <c r="AD380" s="12"/>
      <c r="AE380" s="12"/>
      <c r="AF380" s="12"/>
      <c r="AY380" s="12"/>
      <c r="AZ380" s="12"/>
      <c r="BA380" s="12"/>
      <c r="BB380" s="12"/>
      <c r="BO380" s="12"/>
      <c r="BP380" s="12"/>
      <c r="BQ380" s="12"/>
      <c r="BR380" s="12"/>
    </row>
    <row r="381">
      <c r="AB381" s="12"/>
      <c r="AC381" s="12"/>
      <c r="AD381" s="12"/>
      <c r="AE381" s="12"/>
      <c r="AF381" s="12"/>
      <c r="AY381" s="12"/>
      <c r="AZ381" s="12"/>
      <c r="BA381" s="12"/>
      <c r="BB381" s="12"/>
      <c r="BO381" s="12"/>
      <c r="BP381" s="12"/>
      <c r="BQ381" s="12"/>
      <c r="BR381" s="12"/>
    </row>
    <row r="382">
      <c r="AB382" s="12"/>
      <c r="AC382" s="12"/>
      <c r="AD382" s="12"/>
      <c r="AE382" s="12"/>
      <c r="AF382" s="12"/>
      <c r="AY382" s="12"/>
      <c r="AZ382" s="12"/>
      <c r="BA382" s="12"/>
      <c r="BB382" s="12"/>
      <c r="BO382" s="12"/>
      <c r="BP382" s="12"/>
      <c r="BQ382" s="12"/>
      <c r="BR382" s="12"/>
    </row>
    <row r="383">
      <c r="AB383" s="12"/>
      <c r="AC383" s="12"/>
      <c r="AD383" s="12"/>
      <c r="AE383" s="12"/>
      <c r="AF383" s="12"/>
      <c r="AY383" s="12"/>
      <c r="AZ383" s="12"/>
      <c r="BA383" s="12"/>
      <c r="BB383" s="12"/>
      <c r="BO383" s="12"/>
      <c r="BP383" s="12"/>
      <c r="BQ383" s="12"/>
      <c r="BR383" s="12"/>
    </row>
    <row r="384">
      <c r="AB384" s="12"/>
      <c r="AC384" s="12"/>
      <c r="AD384" s="12"/>
      <c r="AE384" s="12"/>
      <c r="AF384" s="12"/>
      <c r="AY384" s="12"/>
      <c r="AZ384" s="12"/>
      <c r="BA384" s="12"/>
      <c r="BB384" s="12"/>
      <c r="BO384" s="12"/>
      <c r="BP384" s="12"/>
      <c r="BQ384" s="12"/>
      <c r="BR384" s="12"/>
    </row>
    <row r="385">
      <c r="AB385" s="12"/>
      <c r="AC385" s="12"/>
      <c r="AD385" s="12"/>
      <c r="AE385" s="12"/>
      <c r="AF385" s="12"/>
      <c r="AY385" s="12"/>
      <c r="AZ385" s="12"/>
      <c r="BA385" s="12"/>
      <c r="BB385" s="12"/>
      <c r="BO385" s="12"/>
      <c r="BP385" s="12"/>
      <c r="BQ385" s="12"/>
      <c r="BR385" s="12"/>
    </row>
    <row r="386">
      <c r="AB386" s="12"/>
      <c r="AC386" s="12"/>
      <c r="AD386" s="12"/>
      <c r="AE386" s="12"/>
      <c r="AF386" s="12"/>
      <c r="AY386" s="12"/>
      <c r="AZ386" s="12"/>
      <c r="BA386" s="12"/>
      <c r="BB386" s="12"/>
      <c r="BO386" s="12"/>
      <c r="BP386" s="12"/>
      <c r="BQ386" s="12"/>
      <c r="BR386" s="12"/>
    </row>
    <row r="387">
      <c r="AB387" s="12"/>
      <c r="AC387" s="12"/>
      <c r="AD387" s="12"/>
      <c r="AE387" s="12"/>
      <c r="AF387" s="12"/>
      <c r="AY387" s="12"/>
      <c r="AZ387" s="12"/>
      <c r="BA387" s="12"/>
      <c r="BB387" s="12"/>
      <c r="BO387" s="12"/>
      <c r="BP387" s="12"/>
      <c r="BQ387" s="12"/>
      <c r="BR387" s="12"/>
    </row>
    <row r="388">
      <c r="AB388" s="12"/>
      <c r="AC388" s="12"/>
      <c r="AD388" s="12"/>
      <c r="AE388" s="12"/>
      <c r="AF388" s="12"/>
      <c r="AY388" s="12"/>
      <c r="AZ388" s="12"/>
      <c r="BA388" s="12"/>
      <c r="BB388" s="12"/>
      <c r="BO388" s="12"/>
      <c r="BP388" s="12"/>
      <c r="BQ388" s="12"/>
      <c r="BR388" s="12"/>
    </row>
    <row r="389">
      <c r="AB389" s="12"/>
      <c r="AC389" s="12"/>
      <c r="AD389" s="12"/>
      <c r="AE389" s="12"/>
      <c r="AF389" s="12"/>
      <c r="AY389" s="12"/>
      <c r="AZ389" s="12"/>
      <c r="BA389" s="12"/>
      <c r="BB389" s="12"/>
      <c r="BO389" s="12"/>
      <c r="BP389" s="12"/>
      <c r="BQ389" s="12"/>
      <c r="BR389" s="12"/>
    </row>
    <row r="390">
      <c r="AB390" s="12"/>
      <c r="AC390" s="12"/>
      <c r="AD390" s="12"/>
      <c r="AE390" s="12"/>
      <c r="AF390" s="12"/>
      <c r="AY390" s="12"/>
      <c r="AZ390" s="12"/>
      <c r="BA390" s="12"/>
      <c r="BB390" s="12"/>
      <c r="BO390" s="12"/>
      <c r="BP390" s="12"/>
      <c r="BQ390" s="12"/>
      <c r="BR390" s="12"/>
    </row>
    <row r="391">
      <c r="AB391" s="12"/>
      <c r="AC391" s="12"/>
      <c r="AD391" s="12"/>
      <c r="AE391" s="12"/>
      <c r="AF391" s="12"/>
      <c r="AY391" s="12"/>
      <c r="AZ391" s="12"/>
      <c r="BA391" s="12"/>
      <c r="BB391" s="12"/>
      <c r="BO391" s="12"/>
      <c r="BP391" s="12"/>
      <c r="BQ391" s="12"/>
      <c r="BR391" s="12"/>
    </row>
    <row r="392">
      <c r="AB392" s="12"/>
      <c r="AC392" s="12"/>
      <c r="AD392" s="12"/>
      <c r="AE392" s="12"/>
      <c r="AF392" s="12"/>
      <c r="AY392" s="12"/>
      <c r="AZ392" s="12"/>
      <c r="BA392" s="12"/>
      <c r="BB392" s="12"/>
      <c r="BO392" s="12"/>
      <c r="BP392" s="12"/>
      <c r="BQ392" s="12"/>
      <c r="BR392" s="12"/>
    </row>
    <row r="393">
      <c r="AB393" s="12"/>
      <c r="AC393" s="12"/>
      <c r="AD393" s="12"/>
      <c r="AE393" s="12"/>
      <c r="AF393" s="12"/>
      <c r="AY393" s="12"/>
      <c r="AZ393" s="12"/>
      <c r="BA393" s="12"/>
      <c r="BB393" s="12"/>
      <c r="BO393" s="12"/>
      <c r="BP393" s="12"/>
      <c r="BQ393" s="12"/>
      <c r="BR393" s="12"/>
    </row>
    <row r="394">
      <c r="AB394" s="12"/>
      <c r="AC394" s="12"/>
      <c r="AD394" s="12"/>
      <c r="AE394" s="12"/>
      <c r="AF394" s="12"/>
      <c r="AY394" s="12"/>
      <c r="AZ394" s="12"/>
      <c r="BA394" s="12"/>
      <c r="BB394" s="12"/>
      <c r="BO394" s="12"/>
      <c r="BP394" s="12"/>
      <c r="BQ394" s="12"/>
      <c r="BR394" s="12"/>
    </row>
    <row r="395">
      <c r="AB395" s="12"/>
      <c r="AC395" s="12"/>
      <c r="AD395" s="12"/>
      <c r="AE395" s="12"/>
      <c r="AF395" s="12"/>
      <c r="AY395" s="12"/>
      <c r="AZ395" s="12"/>
      <c r="BA395" s="12"/>
      <c r="BB395" s="12"/>
      <c r="BO395" s="12"/>
      <c r="BP395" s="12"/>
      <c r="BQ395" s="12"/>
      <c r="BR395" s="12"/>
    </row>
    <row r="396">
      <c r="AB396" s="12"/>
      <c r="AC396" s="12"/>
      <c r="AD396" s="12"/>
      <c r="AE396" s="12"/>
      <c r="AF396" s="12"/>
      <c r="AY396" s="12"/>
      <c r="AZ396" s="12"/>
      <c r="BA396" s="12"/>
      <c r="BB396" s="12"/>
      <c r="BO396" s="12"/>
      <c r="BP396" s="12"/>
      <c r="BQ396" s="12"/>
      <c r="BR396" s="12"/>
    </row>
    <row r="397">
      <c r="AB397" s="12"/>
      <c r="AC397" s="12"/>
      <c r="AD397" s="12"/>
      <c r="AE397" s="12"/>
      <c r="AF397" s="12"/>
      <c r="AY397" s="12"/>
      <c r="AZ397" s="12"/>
      <c r="BA397" s="12"/>
      <c r="BB397" s="12"/>
      <c r="BO397" s="12"/>
      <c r="BP397" s="12"/>
      <c r="BQ397" s="12"/>
      <c r="BR397" s="12"/>
    </row>
    <row r="398">
      <c r="AB398" s="12"/>
      <c r="AC398" s="12"/>
      <c r="AD398" s="12"/>
      <c r="AE398" s="12"/>
      <c r="AF398" s="12"/>
      <c r="AY398" s="12"/>
      <c r="AZ398" s="12"/>
      <c r="BA398" s="12"/>
      <c r="BB398" s="12"/>
      <c r="BO398" s="12"/>
      <c r="BP398" s="12"/>
      <c r="BQ398" s="12"/>
      <c r="BR398" s="12"/>
    </row>
    <row r="399">
      <c r="AB399" s="12"/>
      <c r="AC399" s="12"/>
      <c r="AD399" s="12"/>
      <c r="AE399" s="12"/>
      <c r="AF399" s="12"/>
      <c r="AY399" s="12"/>
      <c r="AZ399" s="12"/>
      <c r="BA399" s="12"/>
      <c r="BB399" s="12"/>
      <c r="BO399" s="12"/>
      <c r="BP399" s="12"/>
      <c r="BQ399" s="12"/>
      <c r="BR399" s="12"/>
    </row>
    <row r="400">
      <c r="AB400" s="12"/>
      <c r="AC400" s="12"/>
      <c r="AD400" s="12"/>
      <c r="AE400" s="12"/>
      <c r="AF400" s="12"/>
      <c r="AY400" s="12"/>
      <c r="AZ400" s="12"/>
      <c r="BA400" s="12"/>
      <c r="BB400" s="12"/>
      <c r="BO400" s="12"/>
      <c r="BP400" s="12"/>
      <c r="BQ400" s="12"/>
      <c r="BR400" s="12"/>
    </row>
    <row r="401">
      <c r="AB401" s="12"/>
      <c r="AC401" s="12"/>
      <c r="AD401" s="12"/>
      <c r="AE401" s="12"/>
      <c r="AF401" s="12"/>
      <c r="AY401" s="12"/>
      <c r="AZ401" s="12"/>
      <c r="BA401" s="12"/>
      <c r="BB401" s="12"/>
      <c r="BO401" s="12"/>
      <c r="BP401" s="12"/>
      <c r="BQ401" s="12"/>
      <c r="BR401" s="12"/>
    </row>
    <row r="402">
      <c r="AB402" s="12"/>
      <c r="AC402" s="12"/>
      <c r="AD402" s="12"/>
      <c r="AE402" s="12"/>
      <c r="AF402" s="12"/>
      <c r="AY402" s="12"/>
      <c r="AZ402" s="12"/>
      <c r="BA402" s="12"/>
      <c r="BB402" s="12"/>
      <c r="BO402" s="12"/>
      <c r="BP402" s="12"/>
      <c r="BQ402" s="12"/>
      <c r="BR402" s="12"/>
    </row>
    <row r="403">
      <c r="AB403" s="12"/>
      <c r="AC403" s="12"/>
      <c r="AD403" s="12"/>
      <c r="AE403" s="12"/>
      <c r="AF403" s="12"/>
      <c r="AY403" s="12"/>
      <c r="AZ403" s="12"/>
      <c r="BA403" s="12"/>
      <c r="BB403" s="12"/>
      <c r="BO403" s="12"/>
      <c r="BP403" s="12"/>
      <c r="BQ403" s="12"/>
      <c r="BR403" s="12"/>
    </row>
    <row r="404">
      <c r="AB404" s="12"/>
      <c r="AC404" s="12"/>
      <c r="AD404" s="12"/>
      <c r="AE404" s="12"/>
      <c r="AF404" s="12"/>
      <c r="AY404" s="12"/>
      <c r="AZ404" s="12"/>
      <c r="BA404" s="12"/>
      <c r="BB404" s="12"/>
      <c r="BO404" s="12"/>
      <c r="BP404" s="12"/>
      <c r="BQ404" s="12"/>
      <c r="BR404" s="12"/>
    </row>
    <row r="405">
      <c r="AB405" s="12"/>
      <c r="AC405" s="12"/>
      <c r="AD405" s="12"/>
      <c r="AE405" s="12"/>
      <c r="AF405" s="12"/>
      <c r="AY405" s="12"/>
      <c r="AZ405" s="12"/>
      <c r="BA405" s="12"/>
      <c r="BB405" s="12"/>
      <c r="BO405" s="12"/>
      <c r="BP405" s="12"/>
      <c r="BQ405" s="12"/>
      <c r="BR405" s="12"/>
    </row>
    <row r="406">
      <c r="AB406" s="12"/>
      <c r="AC406" s="12"/>
      <c r="AD406" s="12"/>
      <c r="AE406" s="12"/>
      <c r="AF406" s="12"/>
      <c r="AY406" s="12"/>
      <c r="AZ406" s="12"/>
      <c r="BA406" s="12"/>
      <c r="BB406" s="12"/>
      <c r="BO406" s="12"/>
      <c r="BP406" s="12"/>
      <c r="BQ406" s="12"/>
      <c r="BR406" s="12"/>
    </row>
    <row r="407">
      <c r="AB407" s="12"/>
      <c r="AC407" s="12"/>
      <c r="AD407" s="12"/>
      <c r="AE407" s="12"/>
      <c r="AF407" s="12"/>
      <c r="AY407" s="12"/>
      <c r="AZ407" s="12"/>
      <c r="BA407" s="12"/>
      <c r="BB407" s="12"/>
      <c r="BO407" s="12"/>
      <c r="BP407" s="12"/>
      <c r="BQ407" s="12"/>
      <c r="BR407" s="12"/>
    </row>
    <row r="408">
      <c r="AB408" s="12"/>
      <c r="AC408" s="12"/>
      <c r="AD408" s="12"/>
      <c r="AE408" s="12"/>
      <c r="AF408" s="12"/>
      <c r="AY408" s="12"/>
      <c r="AZ408" s="12"/>
      <c r="BA408" s="12"/>
      <c r="BB408" s="12"/>
      <c r="BO408" s="12"/>
      <c r="BP408" s="12"/>
      <c r="BQ408" s="12"/>
      <c r="BR408" s="12"/>
    </row>
    <row r="409">
      <c r="AB409" s="12"/>
      <c r="AC409" s="12"/>
      <c r="AD409" s="12"/>
      <c r="AE409" s="12"/>
      <c r="AF409" s="12"/>
      <c r="AY409" s="12"/>
      <c r="AZ409" s="12"/>
      <c r="BA409" s="12"/>
      <c r="BB409" s="12"/>
      <c r="BO409" s="12"/>
      <c r="BP409" s="12"/>
      <c r="BQ409" s="12"/>
      <c r="BR409" s="12"/>
    </row>
    <row r="410">
      <c r="AB410" s="12"/>
      <c r="AC410" s="12"/>
      <c r="AD410" s="12"/>
      <c r="AE410" s="12"/>
      <c r="AF410" s="12"/>
      <c r="AY410" s="12"/>
      <c r="AZ410" s="12"/>
      <c r="BA410" s="12"/>
      <c r="BB410" s="12"/>
      <c r="BO410" s="12"/>
      <c r="BP410" s="12"/>
      <c r="BQ410" s="12"/>
      <c r="BR410" s="12"/>
    </row>
    <row r="411">
      <c r="AB411" s="12"/>
      <c r="AC411" s="12"/>
      <c r="AD411" s="12"/>
      <c r="AE411" s="12"/>
      <c r="AF411" s="12"/>
      <c r="AY411" s="12"/>
      <c r="AZ411" s="12"/>
      <c r="BA411" s="12"/>
      <c r="BB411" s="12"/>
      <c r="BO411" s="12"/>
      <c r="BP411" s="12"/>
      <c r="BQ411" s="12"/>
      <c r="BR411" s="12"/>
    </row>
    <row r="412">
      <c r="AB412" s="12"/>
      <c r="AC412" s="12"/>
      <c r="AD412" s="12"/>
      <c r="AE412" s="12"/>
      <c r="AF412" s="12"/>
      <c r="AY412" s="12"/>
      <c r="AZ412" s="12"/>
      <c r="BA412" s="12"/>
      <c r="BB412" s="12"/>
      <c r="BO412" s="12"/>
      <c r="BP412" s="12"/>
      <c r="BQ412" s="12"/>
      <c r="BR412" s="12"/>
    </row>
    <row r="413">
      <c r="AB413" s="12"/>
      <c r="AC413" s="12"/>
      <c r="AD413" s="12"/>
      <c r="AE413" s="12"/>
      <c r="AF413" s="12"/>
      <c r="AY413" s="12"/>
      <c r="AZ413" s="12"/>
      <c r="BA413" s="12"/>
      <c r="BB413" s="12"/>
      <c r="BO413" s="12"/>
      <c r="BP413" s="12"/>
      <c r="BQ413" s="12"/>
      <c r="BR413" s="12"/>
    </row>
    <row r="414">
      <c r="AB414" s="12"/>
      <c r="AC414" s="12"/>
      <c r="AD414" s="12"/>
      <c r="AE414" s="12"/>
      <c r="AF414" s="12"/>
      <c r="AY414" s="12"/>
      <c r="AZ414" s="12"/>
      <c r="BA414" s="12"/>
      <c r="BB414" s="12"/>
      <c r="BO414" s="12"/>
      <c r="BP414" s="12"/>
      <c r="BQ414" s="12"/>
      <c r="BR414" s="12"/>
    </row>
    <row r="415">
      <c r="AB415" s="12"/>
      <c r="AC415" s="12"/>
      <c r="AD415" s="12"/>
      <c r="AE415" s="12"/>
      <c r="AF415" s="12"/>
      <c r="AY415" s="12"/>
      <c r="AZ415" s="12"/>
      <c r="BA415" s="12"/>
      <c r="BB415" s="12"/>
      <c r="BO415" s="12"/>
      <c r="BP415" s="12"/>
      <c r="BQ415" s="12"/>
      <c r="BR415" s="12"/>
    </row>
    <row r="416">
      <c r="AB416" s="12"/>
      <c r="AC416" s="12"/>
      <c r="AD416" s="12"/>
      <c r="AE416" s="12"/>
      <c r="AF416" s="12"/>
      <c r="AY416" s="12"/>
      <c r="AZ416" s="12"/>
      <c r="BA416" s="12"/>
      <c r="BB416" s="12"/>
      <c r="BO416" s="12"/>
      <c r="BP416" s="12"/>
      <c r="BQ416" s="12"/>
      <c r="BR416" s="12"/>
    </row>
    <row r="417">
      <c r="AB417" s="12"/>
      <c r="AC417" s="12"/>
      <c r="AD417" s="12"/>
      <c r="AE417" s="12"/>
      <c r="AF417" s="12"/>
      <c r="AY417" s="12"/>
      <c r="AZ417" s="12"/>
      <c r="BA417" s="12"/>
      <c r="BB417" s="12"/>
      <c r="BO417" s="12"/>
      <c r="BP417" s="12"/>
      <c r="BQ417" s="12"/>
      <c r="BR417" s="12"/>
    </row>
    <row r="418">
      <c r="AB418" s="12"/>
      <c r="AC418" s="12"/>
      <c r="AD418" s="12"/>
      <c r="AE418" s="12"/>
      <c r="AF418" s="12"/>
      <c r="AY418" s="12"/>
      <c r="AZ418" s="12"/>
      <c r="BA418" s="12"/>
      <c r="BB418" s="12"/>
      <c r="BO418" s="12"/>
      <c r="BP418" s="12"/>
      <c r="BQ418" s="12"/>
      <c r="BR418" s="12"/>
    </row>
    <row r="419">
      <c r="AB419" s="12"/>
      <c r="AC419" s="12"/>
      <c r="AD419" s="12"/>
      <c r="AE419" s="12"/>
      <c r="AF419" s="12"/>
      <c r="AY419" s="12"/>
      <c r="AZ419" s="12"/>
      <c r="BA419" s="12"/>
      <c r="BB419" s="12"/>
      <c r="BO419" s="12"/>
      <c r="BP419" s="12"/>
      <c r="BQ419" s="12"/>
      <c r="BR419" s="12"/>
    </row>
    <row r="420">
      <c r="AB420" s="12"/>
      <c r="AC420" s="12"/>
      <c r="AD420" s="12"/>
      <c r="AE420" s="12"/>
      <c r="AF420" s="12"/>
      <c r="AY420" s="12"/>
      <c r="AZ420" s="12"/>
      <c r="BA420" s="12"/>
      <c r="BB420" s="12"/>
      <c r="BO420" s="12"/>
      <c r="BP420" s="12"/>
      <c r="BQ420" s="12"/>
      <c r="BR420" s="12"/>
    </row>
    <row r="421">
      <c r="AB421" s="12"/>
      <c r="AC421" s="12"/>
      <c r="AD421" s="12"/>
      <c r="AE421" s="12"/>
      <c r="AF421" s="12"/>
      <c r="AY421" s="12"/>
      <c r="AZ421" s="12"/>
      <c r="BA421" s="12"/>
      <c r="BB421" s="12"/>
      <c r="BO421" s="12"/>
      <c r="BP421" s="12"/>
      <c r="BQ421" s="12"/>
      <c r="BR421" s="12"/>
    </row>
    <row r="422">
      <c r="AB422" s="12"/>
      <c r="AC422" s="12"/>
      <c r="AD422" s="12"/>
      <c r="AE422" s="12"/>
      <c r="AF422" s="12"/>
      <c r="AY422" s="12"/>
      <c r="AZ422" s="12"/>
      <c r="BA422" s="12"/>
      <c r="BB422" s="12"/>
      <c r="BO422" s="12"/>
      <c r="BP422" s="12"/>
      <c r="BQ422" s="12"/>
      <c r="BR422" s="12"/>
    </row>
    <row r="423">
      <c r="AB423" s="12"/>
      <c r="AC423" s="12"/>
      <c r="AD423" s="12"/>
      <c r="AE423" s="12"/>
      <c r="AF423" s="12"/>
      <c r="AY423" s="12"/>
      <c r="AZ423" s="12"/>
      <c r="BA423" s="12"/>
      <c r="BB423" s="12"/>
      <c r="BO423" s="12"/>
      <c r="BP423" s="12"/>
      <c r="BQ423" s="12"/>
      <c r="BR423" s="12"/>
    </row>
    <row r="424">
      <c r="AB424" s="12"/>
      <c r="AC424" s="12"/>
      <c r="AD424" s="12"/>
      <c r="AE424" s="12"/>
      <c r="AF424" s="12"/>
      <c r="AY424" s="12"/>
      <c r="AZ424" s="12"/>
      <c r="BA424" s="12"/>
      <c r="BB424" s="12"/>
      <c r="BO424" s="12"/>
      <c r="BP424" s="12"/>
      <c r="BQ424" s="12"/>
      <c r="BR424" s="12"/>
    </row>
    <row r="425">
      <c r="AB425" s="12"/>
      <c r="AC425" s="12"/>
      <c r="AD425" s="12"/>
      <c r="AE425" s="12"/>
      <c r="AF425" s="12"/>
      <c r="AY425" s="12"/>
      <c r="AZ425" s="12"/>
      <c r="BA425" s="12"/>
      <c r="BB425" s="12"/>
      <c r="BO425" s="12"/>
      <c r="BP425" s="12"/>
      <c r="BQ425" s="12"/>
      <c r="BR425" s="12"/>
    </row>
    <row r="426">
      <c r="AB426" s="12"/>
      <c r="AC426" s="12"/>
      <c r="AD426" s="12"/>
      <c r="AE426" s="12"/>
      <c r="AF426" s="12"/>
      <c r="AY426" s="12"/>
      <c r="AZ426" s="12"/>
      <c r="BA426" s="12"/>
      <c r="BB426" s="12"/>
      <c r="BO426" s="12"/>
      <c r="BP426" s="12"/>
      <c r="BQ426" s="12"/>
      <c r="BR426" s="12"/>
    </row>
    <row r="427">
      <c r="AB427" s="12"/>
      <c r="AC427" s="12"/>
      <c r="AD427" s="12"/>
      <c r="AE427" s="12"/>
      <c r="AF427" s="12"/>
      <c r="AY427" s="12"/>
      <c r="AZ427" s="12"/>
      <c r="BA427" s="12"/>
      <c r="BB427" s="12"/>
      <c r="BO427" s="12"/>
      <c r="BP427" s="12"/>
      <c r="BQ427" s="12"/>
      <c r="BR427" s="12"/>
    </row>
    <row r="428">
      <c r="AB428" s="12"/>
      <c r="AC428" s="12"/>
      <c r="AD428" s="12"/>
      <c r="AE428" s="12"/>
      <c r="AF428" s="12"/>
      <c r="AY428" s="12"/>
      <c r="AZ428" s="12"/>
      <c r="BA428" s="12"/>
      <c r="BB428" s="12"/>
      <c r="BO428" s="12"/>
      <c r="BP428" s="12"/>
      <c r="BQ428" s="12"/>
      <c r="BR428" s="12"/>
    </row>
    <row r="429">
      <c r="AB429" s="12"/>
      <c r="AC429" s="12"/>
      <c r="AD429" s="12"/>
      <c r="AE429" s="12"/>
      <c r="AF429" s="12"/>
      <c r="AY429" s="12"/>
      <c r="AZ429" s="12"/>
      <c r="BA429" s="12"/>
      <c r="BB429" s="12"/>
      <c r="BO429" s="12"/>
      <c r="BP429" s="12"/>
      <c r="BQ429" s="12"/>
      <c r="BR429" s="12"/>
    </row>
    <row r="430">
      <c r="AB430" s="12"/>
      <c r="AC430" s="12"/>
      <c r="AD430" s="12"/>
      <c r="AE430" s="12"/>
      <c r="AF430" s="12"/>
      <c r="AY430" s="12"/>
      <c r="AZ430" s="12"/>
      <c r="BA430" s="12"/>
      <c r="BB430" s="12"/>
      <c r="BO430" s="12"/>
      <c r="BP430" s="12"/>
      <c r="BQ430" s="12"/>
      <c r="BR430" s="12"/>
    </row>
    <row r="431">
      <c r="AB431" s="12"/>
      <c r="AC431" s="12"/>
      <c r="AD431" s="12"/>
      <c r="AE431" s="12"/>
      <c r="AF431" s="12"/>
      <c r="AY431" s="12"/>
      <c r="AZ431" s="12"/>
      <c r="BA431" s="12"/>
      <c r="BB431" s="12"/>
      <c r="BO431" s="12"/>
      <c r="BP431" s="12"/>
      <c r="BQ431" s="12"/>
      <c r="BR431" s="12"/>
    </row>
    <row r="432">
      <c r="AB432" s="12"/>
      <c r="AC432" s="12"/>
      <c r="AD432" s="12"/>
      <c r="AE432" s="12"/>
      <c r="AF432" s="12"/>
      <c r="AY432" s="12"/>
      <c r="AZ432" s="12"/>
      <c r="BA432" s="12"/>
      <c r="BB432" s="12"/>
      <c r="BO432" s="12"/>
      <c r="BP432" s="12"/>
      <c r="BQ432" s="12"/>
      <c r="BR432" s="12"/>
    </row>
    <row r="433">
      <c r="AB433" s="12"/>
      <c r="AC433" s="12"/>
      <c r="AD433" s="12"/>
      <c r="AE433" s="12"/>
      <c r="AF433" s="12"/>
      <c r="AY433" s="12"/>
      <c r="AZ433" s="12"/>
      <c r="BA433" s="12"/>
      <c r="BB433" s="12"/>
      <c r="BO433" s="12"/>
      <c r="BP433" s="12"/>
      <c r="BQ433" s="12"/>
      <c r="BR433" s="12"/>
    </row>
    <row r="434">
      <c r="AB434" s="12"/>
      <c r="AC434" s="12"/>
      <c r="AD434" s="12"/>
      <c r="AE434" s="12"/>
      <c r="AF434" s="12"/>
      <c r="AY434" s="12"/>
      <c r="AZ434" s="12"/>
      <c r="BA434" s="12"/>
      <c r="BB434" s="12"/>
      <c r="BO434" s="12"/>
      <c r="BP434" s="12"/>
      <c r="BQ434" s="12"/>
      <c r="BR434" s="12"/>
    </row>
    <row r="435">
      <c r="AB435" s="12"/>
      <c r="AC435" s="12"/>
      <c r="AD435" s="12"/>
      <c r="AE435" s="12"/>
      <c r="AF435" s="12"/>
      <c r="AY435" s="12"/>
      <c r="AZ435" s="12"/>
      <c r="BA435" s="12"/>
      <c r="BB435" s="12"/>
      <c r="BO435" s="12"/>
      <c r="BP435" s="12"/>
      <c r="BQ435" s="12"/>
      <c r="BR435" s="12"/>
    </row>
    <row r="436">
      <c r="AB436" s="12"/>
      <c r="AC436" s="12"/>
      <c r="AD436" s="12"/>
      <c r="AE436" s="12"/>
      <c r="AF436" s="12"/>
      <c r="AY436" s="12"/>
      <c r="AZ436" s="12"/>
      <c r="BA436" s="12"/>
      <c r="BB436" s="12"/>
      <c r="BO436" s="12"/>
      <c r="BP436" s="12"/>
      <c r="BQ436" s="12"/>
      <c r="BR436" s="12"/>
    </row>
    <row r="437">
      <c r="AB437" s="12"/>
      <c r="AC437" s="12"/>
      <c r="AD437" s="12"/>
      <c r="AE437" s="12"/>
      <c r="AF437" s="12"/>
      <c r="AY437" s="12"/>
      <c r="AZ437" s="12"/>
      <c r="BA437" s="12"/>
      <c r="BB437" s="12"/>
      <c r="BO437" s="12"/>
      <c r="BP437" s="12"/>
      <c r="BQ437" s="12"/>
      <c r="BR437" s="12"/>
    </row>
    <row r="438">
      <c r="AB438" s="12"/>
      <c r="AC438" s="12"/>
      <c r="AD438" s="12"/>
      <c r="AE438" s="12"/>
      <c r="AF438" s="12"/>
      <c r="AY438" s="12"/>
      <c r="AZ438" s="12"/>
      <c r="BA438" s="12"/>
      <c r="BB438" s="12"/>
      <c r="BO438" s="12"/>
      <c r="BP438" s="12"/>
      <c r="BQ438" s="12"/>
      <c r="BR438" s="12"/>
    </row>
    <row r="439">
      <c r="AB439" s="12"/>
      <c r="AC439" s="12"/>
      <c r="AD439" s="12"/>
      <c r="AE439" s="12"/>
      <c r="AF439" s="12"/>
      <c r="AY439" s="12"/>
      <c r="AZ439" s="12"/>
      <c r="BA439" s="12"/>
      <c r="BB439" s="12"/>
      <c r="BO439" s="12"/>
      <c r="BP439" s="12"/>
      <c r="BQ439" s="12"/>
      <c r="BR439" s="12"/>
    </row>
    <row r="440">
      <c r="AB440" s="12"/>
      <c r="AC440" s="12"/>
      <c r="AD440" s="12"/>
      <c r="AE440" s="12"/>
      <c r="AF440" s="12"/>
      <c r="AY440" s="12"/>
      <c r="AZ440" s="12"/>
      <c r="BA440" s="12"/>
      <c r="BB440" s="12"/>
      <c r="BO440" s="12"/>
      <c r="BP440" s="12"/>
      <c r="BQ440" s="12"/>
      <c r="BR440" s="12"/>
    </row>
    <row r="441">
      <c r="AB441" s="12"/>
      <c r="AC441" s="12"/>
      <c r="AD441" s="12"/>
      <c r="AE441" s="12"/>
      <c r="AF441" s="12"/>
      <c r="AY441" s="12"/>
      <c r="AZ441" s="12"/>
      <c r="BA441" s="12"/>
      <c r="BB441" s="12"/>
      <c r="BO441" s="12"/>
      <c r="BP441" s="12"/>
      <c r="BQ441" s="12"/>
      <c r="BR441" s="12"/>
    </row>
    <row r="442">
      <c r="AB442" s="12"/>
      <c r="AC442" s="12"/>
      <c r="AD442" s="12"/>
      <c r="AE442" s="12"/>
      <c r="AF442" s="12"/>
      <c r="AY442" s="12"/>
      <c r="AZ442" s="12"/>
      <c r="BA442" s="12"/>
      <c r="BB442" s="12"/>
      <c r="BO442" s="12"/>
      <c r="BP442" s="12"/>
      <c r="BQ442" s="12"/>
      <c r="BR442" s="12"/>
    </row>
    <row r="443">
      <c r="AB443" s="12"/>
      <c r="AC443" s="12"/>
      <c r="AD443" s="12"/>
      <c r="AE443" s="12"/>
      <c r="AF443" s="12"/>
      <c r="AY443" s="12"/>
      <c r="AZ443" s="12"/>
      <c r="BA443" s="12"/>
      <c r="BB443" s="12"/>
      <c r="BO443" s="12"/>
      <c r="BP443" s="12"/>
      <c r="BQ443" s="12"/>
      <c r="BR443" s="12"/>
    </row>
    <row r="444">
      <c r="AB444" s="12"/>
      <c r="AC444" s="12"/>
      <c r="AD444" s="12"/>
      <c r="AE444" s="12"/>
      <c r="AF444" s="12"/>
      <c r="AY444" s="12"/>
      <c r="AZ444" s="12"/>
      <c r="BA444" s="12"/>
      <c r="BB444" s="12"/>
      <c r="BO444" s="12"/>
      <c r="BP444" s="12"/>
      <c r="BQ444" s="12"/>
      <c r="BR444" s="12"/>
    </row>
    <row r="445">
      <c r="AB445" s="12"/>
      <c r="AC445" s="12"/>
      <c r="AD445" s="12"/>
      <c r="AE445" s="12"/>
      <c r="AF445" s="12"/>
      <c r="AY445" s="12"/>
      <c r="AZ445" s="12"/>
      <c r="BA445" s="12"/>
      <c r="BB445" s="12"/>
      <c r="BO445" s="12"/>
      <c r="BP445" s="12"/>
      <c r="BQ445" s="12"/>
      <c r="BR445" s="12"/>
    </row>
    <row r="446">
      <c r="AB446" s="12"/>
      <c r="AC446" s="12"/>
      <c r="AD446" s="12"/>
      <c r="AE446" s="12"/>
      <c r="AF446" s="12"/>
      <c r="AY446" s="12"/>
      <c r="AZ446" s="12"/>
      <c r="BA446" s="12"/>
      <c r="BB446" s="12"/>
      <c r="BO446" s="12"/>
      <c r="BP446" s="12"/>
      <c r="BQ446" s="12"/>
      <c r="BR446" s="12"/>
    </row>
    <row r="447">
      <c r="AB447" s="12"/>
      <c r="AC447" s="12"/>
      <c r="AD447" s="12"/>
      <c r="AE447" s="12"/>
      <c r="AF447" s="12"/>
      <c r="AY447" s="12"/>
      <c r="AZ447" s="12"/>
      <c r="BA447" s="12"/>
      <c r="BB447" s="12"/>
      <c r="BO447" s="12"/>
      <c r="BP447" s="12"/>
      <c r="BQ447" s="12"/>
      <c r="BR447" s="12"/>
    </row>
    <row r="448">
      <c r="AB448" s="12"/>
      <c r="AC448" s="12"/>
      <c r="AD448" s="12"/>
      <c r="AE448" s="12"/>
      <c r="AF448" s="12"/>
      <c r="AY448" s="12"/>
      <c r="AZ448" s="12"/>
      <c r="BA448" s="12"/>
      <c r="BB448" s="12"/>
      <c r="BO448" s="12"/>
      <c r="BP448" s="12"/>
      <c r="BQ448" s="12"/>
      <c r="BR448" s="12"/>
    </row>
    <row r="449">
      <c r="AB449" s="12"/>
      <c r="AC449" s="12"/>
      <c r="AD449" s="12"/>
      <c r="AE449" s="12"/>
      <c r="AF449" s="12"/>
      <c r="AY449" s="12"/>
      <c r="AZ449" s="12"/>
      <c r="BA449" s="12"/>
      <c r="BB449" s="12"/>
      <c r="BO449" s="12"/>
      <c r="BP449" s="12"/>
      <c r="BQ449" s="12"/>
      <c r="BR449" s="12"/>
    </row>
    <row r="450">
      <c r="AB450" s="12"/>
      <c r="AC450" s="12"/>
      <c r="AD450" s="12"/>
      <c r="AE450" s="12"/>
      <c r="AF450" s="12"/>
      <c r="AY450" s="12"/>
      <c r="AZ450" s="12"/>
      <c r="BA450" s="12"/>
      <c r="BB450" s="12"/>
      <c r="BO450" s="12"/>
      <c r="BP450" s="12"/>
      <c r="BQ450" s="12"/>
      <c r="BR450" s="12"/>
    </row>
    <row r="451">
      <c r="AB451" s="12"/>
      <c r="AC451" s="12"/>
      <c r="AD451" s="12"/>
      <c r="AE451" s="12"/>
      <c r="AF451" s="12"/>
      <c r="AY451" s="12"/>
      <c r="AZ451" s="12"/>
      <c r="BA451" s="12"/>
      <c r="BB451" s="12"/>
      <c r="BO451" s="12"/>
      <c r="BP451" s="12"/>
      <c r="BQ451" s="12"/>
      <c r="BR451" s="12"/>
    </row>
    <row r="452">
      <c r="AB452" s="12"/>
      <c r="AC452" s="12"/>
      <c r="AD452" s="12"/>
      <c r="AE452" s="12"/>
      <c r="AF452" s="12"/>
      <c r="AY452" s="12"/>
      <c r="AZ452" s="12"/>
      <c r="BA452" s="12"/>
      <c r="BB452" s="12"/>
      <c r="BO452" s="12"/>
      <c r="BP452" s="12"/>
      <c r="BQ452" s="12"/>
      <c r="BR452" s="12"/>
    </row>
    <row r="453">
      <c r="AB453" s="12"/>
      <c r="AC453" s="12"/>
      <c r="AD453" s="12"/>
      <c r="AE453" s="12"/>
      <c r="AF453" s="12"/>
      <c r="AY453" s="12"/>
      <c r="AZ453" s="12"/>
      <c r="BA453" s="12"/>
      <c r="BB453" s="12"/>
      <c r="BO453" s="12"/>
      <c r="BP453" s="12"/>
      <c r="BQ453" s="12"/>
      <c r="BR453" s="12"/>
    </row>
    <row r="454">
      <c r="AB454" s="12"/>
      <c r="AC454" s="12"/>
      <c r="AD454" s="12"/>
      <c r="AE454" s="12"/>
      <c r="AF454" s="12"/>
      <c r="AY454" s="12"/>
      <c r="AZ454" s="12"/>
      <c r="BA454" s="12"/>
      <c r="BB454" s="12"/>
      <c r="BO454" s="12"/>
      <c r="BP454" s="12"/>
      <c r="BQ454" s="12"/>
      <c r="BR454" s="12"/>
    </row>
    <row r="455">
      <c r="AB455" s="12"/>
      <c r="AC455" s="12"/>
      <c r="AD455" s="12"/>
      <c r="AE455" s="12"/>
      <c r="AF455" s="12"/>
      <c r="AY455" s="12"/>
      <c r="AZ455" s="12"/>
      <c r="BA455" s="12"/>
      <c r="BB455" s="12"/>
      <c r="BO455" s="12"/>
      <c r="BP455" s="12"/>
      <c r="BQ455" s="12"/>
      <c r="BR455" s="12"/>
    </row>
    <row r="456">
      <c r="AB456" s="12"/>
      <c r="AC456" s="12"/>
      <c r="AD456" s="12"/>
      <c r="AE456" s="12"/>
      <c r="AF456" s="12"/>
      <c r="AY456" s="12"/>
      <c r="AZ456" s="12"/>
      <c r="BA456" s="12"/>
      <c r="BB456" s="12"/>
      <c r="BO456" s="12"/>
      <c r="BP456" s="12"/>
      <c r="BQ456" s="12"/>
      <c r="BR456" s="12"/>
    </row>
    <row r="457">
      <c r="AB457" s="12"/>
      <c r="AC457" s="12"/>
      <c r="AD457" s="12"/>
      <c r="AE457" s="12"/>
      <c r="AF457" s="12"/>
      <c r="AY457" s="12"/>
      <c r="AZ457" s="12"/>
      <c r="BA457" s="12"/>
      <c r="BB457" s="12"/>
      <c r="BO457" s="12"/>
      <c r="BP457" s="12"/>
      <c r="BQ457" s="12"/>
      <c r="BR457" s="12"/>
    </row>
    <row r="458">
      <c r="AB458" s="12"/>
      <c r="AC458" s="12"/>
      <c r="AD458" s="12"/>
      <c r="AE458" s="12"/>
      <c r="AF458" s="12"/>
      <c r="AY458" s="12"/>
      <c r="AZ458" s="12"/>
      <c r="BA458" s="12"/>
      <c r="BB458" s="12"/>
      <c r="BO458" s="12"/>
      <c r="BP458" s="12"/>
      <c r="BQ458" s="12"/>
      <c r="BR458" s="12"/>
    </row>
    <row r="459">
      <c r="AB459" s="12"/>
      <c r="AC459" s="12"/>
      <c r="AD459" s="12"/>
      <c r="AE459" s="12"/>
      <c r="AF459" s="12"/>
      <c r="AY459" s="12"/>
      <c r="AZ459" s="12"/>
      <c r="BA459" s="12"/>
      <c r="BB459" s="12"/>
      <c r="BO459" s="12"/>
      <c r="BP459" s="12"/>
      <c r="BQ459" s="12"/>
      <c r="BR459" s="12"/>
    </row>
    <row r="460">
      <c r="AB460" s="12"/>
      <c r="AC460" s="12"/>
      <c r="AD460" s="12"/>
      <c r="AE460" s="12"/>
      <c r="AF460" s="12"/>
      <c r="AY460" s="12"/>
      <c r="AZ460" s="12"/>
      <c r="BA460" s="12"/>
      <c r="BB460" s="12"/>
      <c r="BO460" s="12"/>
      <c r="BP460" s="12"/>
      <c r="BQ460" s="12"/>
      <c r="BR460" s="12"/>
    </row>
    <row r="461">
      <c r="AB461" s="12"/>
      <c r="AC461" s="12"/>
      <c r="AD461" s="12"/>
      <c r="AE461" s="12"/>
      <c r="AF461" s="12"/>
      <c r="AY461" s="12"/>
      <c r="AZ461" s="12"/>
      <c r="BA461" s="12"/>
      <c r="BB461" s="12"/>
      <c r="BO461" s="12"/>
      <c r="BP461" s="12"/>
      <c r="BQ461" s="12"/>
      <c r="BR461" s="12"/>
    </row>
    <row r="462">
      <c r="AB462" s="12"/>
      <c r="AC462" s="12"/>
      <c r="AD462" s="12"/>
      <c r="AE462" s="12"/>
      <c r="AF462" s="12"/>
      <c r="AY462" s="12"/>
      <c r="AZ462" s="12"/>
      <c r="BA462" s="12"/>
      <c r="BB462" s="12"/>
      <c r="BO462" s="12"/>
      <c r="BP462" s="12"/>
      <c r="BQ462" s="12"/>
      <c r="BR462" s="12"/>
    </row>
    <row r="463">
      <c r="AB463" s="12"/>
      <c r="AC463" s="12"/>
      <c r="AD463" s="12"/>
      <c r="AE463" s="12"/>
      <c r="AF463" s="12"/>
      <c r="AY463" s="12"/>
      <c r="AZ463" s="12"/>
      <c r="BA463" s="12"/>
      <c r="BB463" s="12"/>
      <c r="BO463" s="12"/>
      <c r="BP463" s="12"/>
      <c r="BQ463" s="12"/>
      <c r="BR463" s="12"/>
    </row>
    <row r="464">
      <c r="AB464" s="12"/>
      <c r="AC464" s="12"/>
      <c r="AD464" s="12"/>
      <c r="AE464" s="12"/>
      <c r="AF464" s="12"/>
      <c r="AY464" s="12"/>
      <c r="AZ464" s="12"/>
      <c r="BA464" s="12"/>
      <c r="BB464" s="12"/>
      <c r="BO464" s="12"/>
      <c r="BP464" s="12"/>
      <c r="BQ464" s="12"/>
      <c r="BR464" s="12"/>
    </row>
    <row r="465">
      <c r="AB465" s="12"/>
      <c r="AC465" s="12"/>
      <c r="AD465" s="12"/>
      <c r="AE465" s="12"/>
      <c r="AF465" s="12"/>
      <c r="AY465" s="12"/>
      <c r="AZ465" s="12"/>
      <c r="BA465" s="12"/>
      <c r="BB465" s="12"/>
      <c r="BO465" s="12"/>
      <c r="BP465" s="12"/>
      <c r="BQ465" s="12"/>
      <c r="BR465" s="12"/>
    </row>
    <row r="466">
      <c r="AB466" s="12"/>
      <c r="AC466" s="12"/>
      <c r="AD466" s="12"/>
      <c r="AE466" s="12"/>
      <c r="AF466" s="12"/>
      <c r="AY466" s="12"/>
      <c r="AZ466" s="12"/>
      <c r="BA466" s="12"/>
      <c r="BB466" s="12"/>
      <c r="BO466" s="12"/>
      <c r="BP466" s="12"/>
      <c r="BQ466" s="12"/>
      <c r="BR466" s="12"/>
    </row>
    <row r="467">
      <c r="AB467" s="12"/>
      <c r="AC467" s="12"/>
      <c r="AD467" s="12"/>
      <c r="AE467" s="12"/>
      <c r="AF467" s="12"/>
      <c r="AY467" s="12"/>
      <c r="AZ467" s="12"/>
      <c r="BA467" s="12"/>
      <c r="BB467" s="12"/>
      <c r="BO467" s="12"/>
      <c r="BP467" s="12"/>
      <c r="BQ467" s="12"/>
      <c r="BR467" s="12"/>
    </row>
    <row r="468">
      <c r="AB468" s="12"/>
      <c r="AC468" s="12"/>
      <c r="AD468" s="12"/>
      <c r="AE468" s="12"/>
      <c r="AF468" s="12"/>
      <c r="AY468" s="12"/>
      <c r="AZ468" s="12"/>
      <c r="BA468" s="12"/>
      <c r="BB468" s="12"/>
      <c r="BO468" s="12"/>
      <c r="BP468" s="12"/>
      <c r="BQ468" s="12"/>
      <c r="BR468" s="12"/>
    </row>
    <row r="469">
      <c r="AB469" s="12"/>
      <c r="AC469" s="12"/>
      <c r="AD469" s="12"/>
      <c r="AE469" s="12"/>
      <c r="AF469" s="12"/>
      <c r="AY469" s="12"/>
      <c r="AZ469" s="12"/>
      <c r="BA469" s="12"/>
      <c r="BB469" s="12"/>
      <c r="BO469" s="12"/>
      <c r="BP469" s="12"/>
      <c r="BQ469" s="12"/>
      <c r="BR469" s="12"/>
    </row>
    <row r="470">
      <c r="AB470" s="12"/>
      <c r="AC470" s="12"/>
      <c r="AD470" s="12"/>
      <c r="AE470" s="12"/>
      <c r="AF470" s="12"/>
      <c r="AY470" s="12"/>
      <c r="AZ470" s="12"/>
      <c r="BA470" s="12"/>
      <c r="BB470" s="12"/>
      <c r="BO470" s="12"/>
      <c r="BP470" s="12"/>
      <c r="BQ470" s="12"/>
      <c r="BR470" s="12"/>
    </row>
    <row r="471">
      <c r="AB471" s="12"/>
      <c r="AC471" s="12"/>
      <c r="AD471" s="12"/>
      <c r="AE471" s="12"/>
      <c r="AF471" s="12"/>
      <c r="AY471" s="12"/>
      <c r="AZ471" s="12"/>
      <c r="BA471" s="12"/>
      <c r="BB471" s="12"/>
      <c r="BO471" s="12"/>
      <c r="BP471" s="12"/>
      <c r="BQ471" s="12"/>
      <c r="BR471" s="12"/>
    </row>
    <row r="472">
      <c r="AB472" s="12"/>
      <c r="AC472" s="12"/>
      <c r="AD472" s="12"/>
      <c r="AE472" s="12"/>
      <c r="AF472" s="12"/>
      <c r="AY472" s="12"/>
      <c r="AZ472" s="12"/>
      <c r="BA472" s="12"/>
      <c r="BB472" s="12"/>
      <c r="BO472" s="12"/>
      <c r="BP472" s="12"/>
      <c r="BQ472" s="12"/>
      <c r="BR472" s="12"/>
    </row>
    <row r="473">
      <c r="AB473" s="12"/>
      <c r="AC473" s="12"/>
      <c r="AD473" s="12"/>
      <c r="AE473" s="12"/>
      <c r="AF473" s="12"/>
      <c r="AY473" s="12"/>
      <c r="AZ473" s="12"/>
      <c r="BA473" s="12"/>
      <c r="BB473" s="12"/>
      <c r="BO473" s="12"/>
      <c r="BP473" s="12"/>
      <c r="BQ473" s="12"/>
      <c r="BR473" s="12"/>
    </row>
    <row r="474">
      <c r="AB474" s="12"/>
      <c r="AC474" s="12"/>
      <c r="AD474" s="12"/>
      <c r="AE474" s="12"/>
      <c r="AF474" s="12"/>
      <c r="AY474" s="12"/>
      <c r="AZ474" s="12"/>
      <c r="BA474" s="12"/>
      <c r="BB474" s="12"/>
      <c r="BO474" s="12"/>
      <c r="BP474" s="12"/>
      <c r="BQ474" s="12"/>
      <c r="BR474" s="12"/>
    </row>
    <row r="475">
      <c r="AB475" s="12"/>
      <c r="AC475" s="12"/>
      <c r="AD475" s="12"/>
      <c r="AE475" s="12"/>
      <c r="AF475" s="12"/>
      <c r="AY475" s="12"/>
      <c r="AZ475" s="12"/>
      <c r="BA475" s="12"/>
      <c r="BB475" s="12"/>
      <c r="BO475" s="12"/>
      <c r="BP475" s="12"/>
      <c r="BQ475" s="12"/>
      <c r="BR475" s="12"/>
    </row>
    <row r="476">
      <c r="AB476" s="12"/>
      <c r="AC476" s="12"/>
      <c r="AD476" s="12"/>
      <c r="AE476" s="12"/>
      <c r="AF476" s="12"/>
      <c r="AY476" s="12"/>
      <c r="AZ476" s="12"/>
      <c r="BA476" s="12"/>
      <c r="BB476" s="12"/>
      <c r="BO476" s="12"/>
      <c r="BP476" s="12"/>
      <c r="BQ476" s="12"/>
      <c r="BR476" s="12"/>
    </row>
    <row r="477">
      <c r="AB477" s="12"/>
      <c r="AC477" s="12"/>
      <c r="AD477" s="12"/>
      <c r="AE477" s="12"/>
      <c r="AF477" s="12"/>
      <c r="AY477" s="12"/>
      <c r="AZ477" s="12"/>
      <c r="BA477" s="12"/>
      <c r="BB477" s="12"/>
      <c r="BO477" s="12"/>
      <c r="BP477" s="12"/>
      <c r="BQ477" s="12"/>
      <c r="BR477" s="12"/>
    </row>
    <row r="478">
      <c r="AB478" s="12"/>
      <c r="AC478" s="12"/>
      <c r="AD478" s="12"/>
      <c r="AE478" s="12"/>
      <c r="AF478" s="12"/>
      <c r="AY478" s="12"/>
      <c r="AZ478" s="12"/>
      <c r="BA478" s="12"/>
      <c r="BB478" s="12"/>
      <c r="BO478" s="12"/>
      <c r="BP478" s="12"/>
      <c r="BQ478" s="12"/>
      <c r="BR478" s="12"/>
    </row>
    <row r="479">
      <c r="AB479" s="12"/>
      <c r="AC479" s="12"/>
      <c r="AD479" s="12"/>
      <c r="AE479" s="12"/>
      <c r="AF479" s="12"/>
      <c r="AY479" s="12"/>
      <c r="AZ479" s="12"/>
      <c r="BA479" s="12"/>
      <c r="BB479" s="12"/>
      <c r="BO479" s="12"/>
      <c r="BP479" s="12"/>
      <c r="BQ479" s="12"/>
      <c r="BR479" s="12"/>
    </row>
    <row r="480">
      <c r="AB480" s="12"/>
      <c r="AC480" s="12"/>
      <c r="AD480" s="12"/>
      <c r="AE480" s="12"/>
      <c r="AF480" s="12"/>
      <c r="AY480" s="12"/>
      <c r="AZ480" s="12"/>
      <c r="BA480" s="12"/>
      <c r="BB480" s="12"/>
      <c r="BO480" s="12"/>
      <c r="BP480" s="12"/>
      <c r="BQ480" s="12"/>
      <c r="BR480" s="12"/>
    </row>
    <row r="481">
      <c r="AB481" s="12"/>
      <c r="AC481" s="12"/>
      <c r="AD481" s="12"/>
      <c r="AE481" s="12"/>
      <c r="AF481" s="12"/>
      <c r="AY481" s="12"/>
      <c r="AZ481" s="12"/>
      <c r="BA481" s="12"/>
      <c r="BB481" s="12"/>
      <c r="BO481" s="12"/>
      <c r="BP481" s="12"/>
      <c r="BQ481" s="12"/>
      <c r="BR481" s="12"/>
    </row>
    <row r="482">
      <c r="AB482" s="12"/>
      <c r="AC482" s="12"/>
      <c r="AD482" s="12"/>
      <c r="AE482" s="12"/>
      <c r="AF482" s="12"/>
      <c r="AY482" s="12"/>
      <c r="AZ482" s="12"/>
      <c r="BA482" s="12"/>
      <c r="BB482" s="12"/>
      <c r="BO482" s="12"/>
      <c r="BP482" s="12"/>
      <c r="BQ482" s="12"/>
      <c r="BR482" s="12"/>
    </row>
    <row r="483">
      <c r="AB483" s="12"/>
      <c r="AC483" s="12"/>
      <c r="AD483" s="12"/>
      <c r="AE483" s="12"/>
      <c r="AF483" s="12"/>
      <c r="AY483" s="12"/>
      <c r="AZ483" s="12"/>
      <c r="BA483" s="12"/>
      <c r="BB483" s="12"/>
      <c r="BO483" s="12"/>
      <c r="BP483" s="12"/>
      <c r="BQ483" s="12"/>
      <c r="BR483" s="12"/>
    </row>
    <row r="484">
      <c r="AB484" s="12"/>
      <c r="AC484" s="12"/>
      <c r="AD484" s="12"/>
      <c r="AE484" s="12"/>
      <c r="AF484" s="12"/>
      <c r="AY484" s="12"/>
      <c r="AZ484" s="12"/>
      <c r="BA484" s="12"/>
      <c r="BB484" s="12"/>
      <c r="BO484" s="12"/>
      <c r="BP484" s="12"/>
      <c r="BQ484" s="12"/>
      <c r="BR484" s="12"/>
    </row>
    <row r="485">
      <c r="AB485" s="12"/>
      <c r="AC485" s="12"/>
      <c r="AD485" s="12"/>
      <c r="AE485" s="12"/>
      <c r="AF485" s="12"/>
      <c r="AY485" s="12"/>
      <c r="AZ485" s="12"/>
      <c r="BA485" s="12"/>
      <c r="BB485" s="12"/>
      <c r="BO485" s="12"/>
      <c r="BP485" s="12"/>
      <c r="BQ485" s="12"/>
      <c r="BR485" s="12"/>
    </row>
    <row r="486">
      <c r="AB486" s="12"/>
      <c r="AC486" s="12"/>
      <c r="AD486" s="12"/>
      <c r="AE486" s="12"/>
      <c r="AF486" s="12"/>
      <c r="AY486" s="12"/>
      <c r="AZ486" s="12"/>
      <c r="BA486" s="12"/>
      <c r="BB486" s="12"/>
      <c r="BO486" s="12"/>
      <c r="BP486" s="12"/>
      <c r="BQ486" s="12"/>
      <c r="BR486" s="12"/>
    </row>
    <row r="487">
      <c r="AB487" s="12"/>
      <c r="AC487" s="12"/>
      <c r="AD487" s="12"/>
      <c r="AE487" s="12"/>
      <c r="AF487" s="12"/>
      <c r="AY487" s="12"/>
      <c r="AZ487" s="12"/>
      <c r="BA487" s="12"/>
      <c r="BB487" s="12"/>
      <c r="BO487" s="12"/>
      <c r="BP487" s="12"/>
      <c r="BQ487" s="12"/>
      <c r="BR487" s="12"/>
    </row>
    <row r="488">
      <c r="AB488" s="12"/>
      <c r="AC488" s="12"/>
      <c r="AD488" s="12"/>
      <c r="AE488" s="12"/>
      <c r="AF488" s="12"/>
      <c r="AY488" s="12"/>
      <c r="AZ488" s="12"/>
      <c r="BA488" s="12"/>
      <c r="BB488" s="12"/>
      <c r="BO488" s="12"/>
      <c r="BP488" s="12"/>
      <c r="BQ488" s="12"/>
      <c r="BR488" s="12"/>
    </row>
    <row r="489">
      <c r="AB489" s="12"/>
      <c r="AC489" s="12"/>
      <c r="AD489" s="12"/>
      <c r="AE489" s="12"/>
      <c r="AF489" s="12"/>
      <c r="AY489" s="12"/>
      <c r="AZ489" s="12"/>
      <c r="BA489" s="12"/>
      <c r="BB489" s="12"/>
      <c r="BO489" s="12"/>
      <c r="BP489" s="12"/>
      <c r="BQ489" s="12"/>
      <c r="BR489" s="12"/>
    </row>
    <row r="490">
      <c r="AB490" s="12"/>
      <c r="AC490" s="12"/>
      <c r="AD490" s="12"/>
      <c r="AE490" s="12"/>
      <c r="AF490" s="12"/>
      <c r="AY490" s="12"/>
      <c r="AZ490" s="12"/>
      <c r="BA490" s="12"/>
      <c r="BB490" s="12"/>
      <c r="BO490" s="12"/>
      <c r="BP490" s="12"/>
      <c r="BQ490" s="12"/>
      <c r="BR490" s="12"/>
    </row>
    <row r="491">
      <c r="AB491" s="12"/>
      <c r="AC491" s="12"/>
      <c r="AD491" s="12"/>
      <c r="AE491" s="12"/>
      <c r="AF491" s="12"/>
      <c r="AY491" s="12"/>
      <c r="AZ491" s="12"/>
      <c r="BA491" s="12"/>
      <c r="BB491" s="12"/>
      <c r="BO491" s="12"/>
      <c r="BP491" s="12"/>
      <c r="BQ491" s="12"/>
      <c r="BR491" s="12"/>
    </row>
    <row r="492">
      <c r="AB492" s="12"/>
      <c r="AC492" s="12"/>
      <c r="AD492" s="12"/>
      <c r="AE492" s="12"/>
      <c r="AF492" s="12"/>
      <c r="AY492" s="12"/>
      <c r="AZ492" s="12"/>
      <c r="BA492" s="12"/>
      <c r="BB492" s="12"/>
      <c r="BO492" s="12"/>
      <c r="BP492" s="12"/>
      <c r="BQ492" s="12"/>
      <c r="BR492" s="12"/>
    </row>
    <row r="493">
      <c r="AB493" s="12"/>
      <c r="AC493" s="12"/>
      <c r="AD493" s="12"/>
      <c r="AE493" s="12"/>
      <c r="AF493" s="12"/>
      <c r="AY493" s="12"/>
      <c r="AZ493" s="12"/>
      <c r="BA493" s="12"/>
      <c r="BB493" s="12"/>
      <c r="BO493" s="12"/>
      <c r="BP493" s="12"/>
      <c r="BQ493" s="12"/>
      <c r="BR493" s="12"/>
    </row>
    <row r="494">
      <c r="AB494" s="12"/>
      <c r="AC494" s="12"/>
      <c r="AD494" s="12"/>
      <c r="AE494" s="12"/>
      <c r="AF494" s="12"/>
      <c r="AY494" s="12"/>
      <c r="AZ494" s="12"/>
      <c r="BA494" s="12"/>
      <c r="BB494" s="12"/>
      <c r="BO494" s="12"/>
      <c r="BP494" s="12"/>
      <c r="BQ494" s="12"/>
      <c r="BR494" s="12"/>
    </row>
    <row r="495">
      <c r="AB495" s="12"/>
      <c r="AC495" s="12"/>
      <c r="AD495" s="12"/>
      <c r="AE495" s="12"/>
      <c r="AF495" s="12"/>
      <c r="AY495" s="12"/>
      <c r="AZ495" s="12"/>
      <c r="BA495" s="12"/>
      <c r="BB495" s="12"/>
      <c r="BO495" s="12"/>
      <c r="BP495" s="12"/>
      <c r="BQ495" s="12"/>
      <c r="BR495" s="12"/>
    </row>
    <row r="496">
      <c r="AB496" s="12"/>
      <c r="AC496" s="12"/>
      <c r="AD496" s="12"/>
      <c r="AE496" s="12"/>
      <c r="AF496" s="12"/>
      <c r="AY496" s="12"/>
      <c r="AZ496" s="12"/>
      <c r="BA496" s="12"/>
      <c r="BB496" s="12"/>
      <c r="BO496" s="12"/>
      <c r="BP496" s="12"/>
      <c r="BQ496" s="12"/>
      <c r="BR496" s="12"/>
    </row>
    <row r="497">
      <c r="AB497" s="12"/>
      <c r="AC497" s="12"/>
      <c r="AD497" s="12"/>
      <c r="AE497" s="12"/>
      <c r="AF497" s="12"/>
      <c r="AY497" s="12"/>
      <c r="AZ497" s="12"/>
      <c r="BA497" s="12"/>
      <c r="BB497" s="12"/>
      <c r="BO497" s="12"/>
      <c r="BP497" s="12"/>
      <c r="BQ497" s="12"/>
      <c r="BR497" s="12"/>
    </row>
    <row r="498">
      <c r="AB498" s="12"/>
      <c r="AC498" s="12"/>
      <c r="AD498" s="12"/>
      <c r="AE498" s="12"/>
      <c r="AF498" s="12"/>
      <c r="AY498" s="12"/>
      <c r="AZ498" s="12"/>
      <c r="BA498" s="12"/>
      <c r="BB498" s="12"/>
      <c r="BO498" s="12"/>
      <c r="BP498" s="12"/>
      <c r="BQ498" s="12"/>
      <c r="BR498" s="12"/>
    </row>
    <row r="499">
      <c r="AB499" s="12"/>
      <c r="AC499" s="12"/>
      <c r="AD499" s="12"/>
      <c r="AE499" s="12"/>
      <c r="AF499" s="12"/>
      <c r="AY499" s="12"/>
      <c r="AZ499" s="12"/>
      <c r="BA499" s="12"/>
      <c r="BB499" s="12"/>
      <c r="BO499" s="12"/>
      <c r="BP499" s="12"/>
      <c r="BQ499" s="12"/>
      <c r="BR499" s="12"/>
    </row>
    <row r="500">
      <c r="AB500" s="12"/>
      <c r="AC500" s="12"/>
      <c r="AD500" s="12"/>
      <c r="AE500" s="12"/>
      <c r="AF500" s="12"/>
      <c r="AY500" s="12"/>
      <c r="AZ500" s="12"/>
      <c r="BA500" s="12"/>
      <c r="BB500" s="12"/>
      <c r="BO500" s="12"/>
      <c r="BP500" s="12"/>
      <c r="BQ500" s="12"/>
      <c r="BR500" s="12"/>
    </row>
    <row r="501">
      <c r="AB501" s="12"/>
      <c r="AC501" s="12"/>
      <c r="AD501" s="12"/>
      <c r="AE501" s="12"/>
      <c r="AF501" s="12"/>
      <c r="AY501" s="12"/>
      <c r="AZ501" s="12"/>
      <c r="BA501" s="12"/>
      <c r="BB501" s="12"/>
      <c r="BO501" s="12"/>
      <c r="BP501" s="12"/>
      <c r="BQ501" s="12"/>
      <c r="BR501" s="12"/>
    </row>
    <row r="502">
      <c r="AB502" s="12"/>
      <c r="AC502" s="12"/>
      <c r="AD502" s="12"/>
      <c r="AE502" s="12"/>
      <c r="AF502" s="12"/>
      <c r="AY502" s="12"/>
      <c r="AZ502" s="12"/>
      <c r="BA502" s="12"/>
      <c r="BB502" s="12"/>
      <c r="BO502" s="12"/>
      <c r="BP502" s="12"/>
      <c r="BQ502" s="12"/>
      <c r="BR502" s="12"/>
    </row>
    <row r="503">
      <c r="AB503" s="12"/>
      <c r="AC503" s="12"/>
      <c r="AD503" s="12"/>
      <c r="AE503" s="12"/>
      <c r="AF503" s="12"/>
      <c r="AY503" s="12"/>
      <c r="AZ503" s="12"/>
      <c r="BA503" s="12"/>
      <c r="BB503" s="12"/>
      <c r="BO503" s="12"/>
      <c r="BP503" s="12"/>
      <c r="BQ503" s="12"/>
      <c r="BR503" s="12"/>
    </row>
    <row r="504">
      <c r="AB504" s="12"/>
      <c r="AC504" s="12"/>
      <c r="AD504" s="12"/>
      <c r="AE504" s="12"/>
      <c r="AF504" s="12"/>
      <c r="AY504" s="12"/>
      <c r="AZ504" s="12"/>
      <c r="BA504" s="12"/>
      <c r="BB504" s="12"/>
      <c r="BO504" s="12"/>
      <c r="BP504" s="12"/>
      <c r="BQ504" s="12"/>
      <c r="BR504" s="12"/>
    </row>
    <row r="505">
      <c r="AB505" s="12"/>
      <c r="AC505" s="12"/>
      <c r="AD505" s="12"/>
      <c r="AE505" s="12"/>
      <c r="AF505" s="12"/>
      <c r="AY505" s="12"/>
      <c r="AZ505" s="12"/>
      <c r="BA505" s="12"/>
      <c r="BB505" s="12"/>
      <c r="BO505" s="12"/>
      <c r="BP505" s="12"/>
      <c r="BQ505" s="12"/>
      <c r="BR505" s="12"/>
    </row>
    <row r="506">
      <c r="AB506" s="12"/>
      <c r="AC506" s="12"/>
      <c r="AD506" s="12"/>
      <c r="AE506" s="12"/>
      <c r="AF506" s="12"/>
      <c r="AY506" s="12"/>
      <c r="AZ506" s="12"/>
      <c r="BA506" s="12"/>
      <c r="BB506" s="12"/>
      <c r="BO506" s="12"/>
      <c r="BP506" s="12"/>
      <c r="BQ506" s="12"/>
      <c r="BR506" s="12"/>
    </row>
    <row r="507">
      <c r="AB507" s="12"/>
      <c r="AC507" s="12"/>
      <c r="AD507" s="12"/>
      <c r="AE507" s="12"/>
      <c r="AF507" s="12"/>
      <c r="AY507" s="12"/>
      <c r="AZ507" s="12"/>
      <c r="BA507" s="12"/>
      <c r="BB507" s="12"/>
      <c r="BO507" s="12"/>
      <c r="BP507" s="12"/>
      <c r="BQ507" s="12"/>
      <c r="BR507" s="12"/>
    </row>
    <row r="508">
      <c r="AB508" s="12"/>
      <c r="AC508" s="12"/>
      <c r="AD508" s="12"/>
      <c r="AE508" s="12"/>
      <c r="AF508" s="12"/>
      <c r="AY508" s="12"/>
      <c r="AZ508" s="12"/>
      <c r="BA508" s="12"/>
      <c r="BB508" s="12"/>
      <c r="BO508" s="12"/>
      <c r="BP508" s="12"/>
      <c r="BQ508" s="12"/>
      <c r="BR508" s="12"/>
    </row>
    <row r="509">
      <c r="AB509" s="12"/>
      <c r="AC509" s="12"/>
      <c r="AD509" s="12"/>
      <c r="AE509" s="12"/>
      <c r="AF509" s="12"/>
      <c r="AY509" s="12"/>
      <c r="AZ509" s="12"/>
      <c r="BA509" s="12"/>
      <c r="BB509" s="12"/>
      <c r="BO509" s="12"/>
      <c r="BP509" s="12"/>
      <c r="BQ509" s="12"/>
      <c r="BR509" s="12"/>
    </row>
    <row r="510">
      <c r="AB510" s="12"/>
      <c r="AC510" s="12"/>
      <c r="AD510" s="12"/>
      <c r="AE510" s="12"/>
      <c r="AF510" s="12"/>
      <c r="AY510" s="12"/>
      <c r="AZ510" s="12"/>
      <c r="BA510" s="12"/>
      <c r="BB510" s="12"/>
      <c r="BO510" s="12"/>
      <c r="BP510" s="12"/>
      <c r="BQ510" s="12"/>
      <c r="BR510" s="12"/>
    </row>
    <row r="511">
      <c r="AB511" s="12"/>
      <c r="AC511" s="12"/>
      <c r="AD511" s="12"/>
      <c r="AE511" s="12"/>
      <c r="AF511" s="12"/>
      <c r="AY511" s="12"/>
      <c r="AZ511" s="12"/>
      <c r="BA511" s="12"/>
      <c r="BB511" s="12"/>
      <c r="BO511" s="12"/>
      <c r="BP511" s="12"/>
      <c r="BQ511" s="12"/>
      <c r="BR511" s="12"/>
    </row>
    <row r="512">
      <c r="AB512" s="12"/>
      <c r="AC512" s="12"/>
      <c r="AD512" s="12"/>
      <c r="AE512" s="12"/>
      <c r="AF512" s="12"/>
      <c r="AY512" s="12"/>
      <c r="AZ512" s="12"/>
      <c r="BA512" s="12"/>
      <c r="BB512" s="12"/>
      <c r="BO512" s="12"/>
      <c r="BP512" s="12"/>
      <c r="BQ512" s="12"/>
      <c r="BR512" s="12"/>
    </row>
    <row r="513">
      <c r="AB513" s="12"/>
      <c r="AC513" s="12"/>
      <c r="AD513" s="12"/>
      <c r="AE513" s="12"/>
      <c r="AF513" s="12"/>
      <c r="AY513" s="12"/>
      <c r="AZ513" s="12"/>
      <c r="BA513" s="12"/>
      <c r="BB513" s="12"/>
      <c r="BO513" s="12"/>
      <c r="BP513" s="12"/>
      <c r="BQ513" s="12"/>
      <c r="BR513" s="12"/>
    </row>
    <row r="514">
      <c r="AB514" s="12"/>
      <c r="AC514" s="12"/>
      <c r="AD514" s="12"/>
      <c r="AE514" s="12"/>
      <c r="AF514" s="12"/>
      <c r="AY514" s="12"/>
      <c r="AZ514" s="12"/>
      <c r="BA514" s="12"/>
      <c r="BB514" s="12"/>
      <c r="BO514" s="12"/>
      <c r="BP514" s="12"/>
      <c r="BQ514" s="12"/>
      <c r="BR514" s="12"/>
    </row>
    <row r="515">
      <c r="AB515" s="12"/>
      <c r="AC515" s="12"/>
      <c r="AD515" s="12"/>
      <c r="AE515" s="12"/>
      <c r="AF515" s="12"/>
      <c r="AY515" s="12"/>
      <c r="AZ515" s="12"/>
      <c r="BA515" s="12"/>
      <c r="BB515" s="12"/>
      <c r="BO515" s="12"/>
      <c r="BP515" s="12"/>
      <c r="BQ515" s="12"/>
      <c r="BR515" s="12"/>
    </row>
    <row r="516">
      <c r="AB516" s="12"/>
      <c r="AC516" s="12"/>
      <c r="AD516" s="12"/>
      <c r="AE516" s="12"/>
      <c r="AF516" s="12"/>
      <c r="AY516" s="12"/>
      <c r="AZ516" s="12"/>
      <c r="BA516" s="12"/>
      <c r="BB516" s="12"/>
      <c r="BO516" s="12"/>
      <c r="BP516" s="12"/>
      <c r="BQ516" s="12"/>
      <c r="BR516" s="12"/>
    </row>
    <row r="517">
      <c r="AB517" s="12"/>
      <c r="AC517" s="12"/>
      <c r="AD517" s="12"/>
      <c r="AE517" s="12"/>
      <c r="AF517" s="12"/>
      <c r="AY517" s="12"/>
      <c r="AZ517" s="12"/>
      <c r="BA517" s="12"/>
      <c r="BB517" s="12"/>
      <c r="BO517" s="12"/>
      <c r="BP517" s="12"/>
      <c r="BQ517" s="12"/>
      <c r="BR517" s="12"/>
    </row>
    <row r="518">
      <c r="AB518" s="12"/>
      <c r="AC518" s="12"/>
      <c r="AD518" s="12"/>
      <c r="AE518" s="12"/>
      <c r="AF518" s="12"/>
      <c r="AY518" s="12"/>
      <c r="AZ518" s="12"/>
      <c r="BA518" s="12"/>
      <c r="BB518" s="12"/>
      <c r="BO518" s="12"/>
      <c r="BP518" s="12"/>
      <c r="BQ518" s="12"/>
      <c r="BR518" s="12"/>
    </row>
    <row r="519">
      <c r="AB519" s="12"/>
      <c r="AC519" s="12"/>
      <c r="AD519" s="12"/>
      <c r="AE519" s="12"/>
      <c r="AF519" s="12"/>
      <c r="AY519" s="12"/>
      <c r="AZ519" s="12"/>
      <c r="BA519" s="12"/>
      <c r="BB519" s="12"/>
      <c r="BO519" s="12"/>
      <c r="BP519" s="12"/>
      <c r="BQ519" s="12"/>
      <c r="BR519" s="12"/>
    </row>
    <row r="520">
      <c r="AB520" s="12"/>
      <c r="AC520" s="12"/>
      <c r="AD520" s="12"/>
      <c r="AE520" s="12"/>
      <c r="AF520" s="12"/>
      <c r="AY520" s="12"/>
      <c r="AZ520" s="12"/>
      <c r="BA520" s="12"/>
      <c r="BB520" s="12"/>
      <c r="BO520" s="12"/>
      <c r="BP520" s="12"/>
      <c r="BQ520" s="12"/>
      <c r="BR520" s="12"/>
    </row>
    <row r="521">
      <c r="AB521" s="12"/>
      <c r="AC521" s="12"/>
      <c r="AD521" s="12"/>
      <c r="AE521" s="12"/>
      <c r="AF521" s="12"/>
      <c r="AY521" s="12"/>
      <c r="AZ521" s="12"/>
      <c r="BA521" s="12"/>
      <c r="BB521" s="12"/>
      <c r="BO521" s="12"/>
      <c r="BP521" s="12"/>
      <c r="BQ521" s="12"/>
      <c r="BR521" s="12"/>
    </row>
    <row r="522">
      <c r="AB522" s="12"/>
      <c r="AC522" s="12"/>
      <c r="AD522" s="12"/>
      <c r="AE522" s="12"/>
      <c r="AF522" s="12"/>
      <c r="AY522" s="12"/>
      <c r="AZ522" s="12"/>
      <c r="BA522" s="12"/>
      <c r="BB522" s="12"/>
      <c r="BO522" s="12"/>
      <c r="BP522" s="12"/>
      <c r="BQ522" s="12"/>
      <c r="BR522" s="12"/>
    </row>
    <row r="523">
      <c r="AB523" s="12"/>
      <c r="AC523" s="12"/>
      <c r="AD523" s="12"/>
      <c r="AE523" s="12"/>
      <c r="AF523" s="12"/>
      <c r="AY523" s="12"/>
      <c r="AZ523" s="12"/>
      <c r="BA523" s="12"/>
      <c r="BB523" s="12"/>
      <c r="BO523" s="12"/>
      <c r="BP523" s="12"/>
      <c r="BQ523" s="12"/>
      <c r="BR523" s="12"/>
    </row>
    <row r="524">
      <c r="AB524" s="12"/>
      <c r="AC524" s="12"/>
      <c r="AD524" s="12"/>
      <c r="AE524" s="12"/>
      <c r="AF524" s="12"/>
      <c r="AY524" s="12"/>
      <c r="AZ524" s="12"/>
      <c r="BA524" s="12"/>
      <c r="BB524" s="12"/>
      <c r="BO524" s="12"/>
      <c r="BP524" s="12"/>
      <c r="BQ524" s="12"/>
      <c r="BR524" s="12"/>
    </row>
    <row r="525">
      <c r="AB525" s="12"/>
      <c r="AC525" s="12"/>
      <c r="AD525" s="12"/>
      <c r="AE525" s="12"/>
      <c r="AF525" s="12"/>
      <c r="AY525" s="12"/>
      <c r="AZ525" s="12"/>
      <c r="BA525" s="12"/>
      <c r="BB525" s="12"/>
      <c r="BO525" s="12"/>
      <c r="BP525" s="12"/>
      <c r="BQ525" s="12"/>
      <c r="BR525" s="12"/>
    </row>
    <row r="526">
      <c r="AB526" s="12"/>
      <c r="AC526" s="12"/>
      <c r="AD526" s="12"/>
      <c r="AE526" s="12"/>
      <c r="AF526" s="12"/>
      <c r="AY526" s="12"/>
      <c r="AZ526" s="12"/>
      <c r="BA526" s="12"/>
      <c r="BB526" s="12"/>
      <c r="BO526" s="12"/>
      <c r="BP526" s="12"/>
      <c r="BQ526" s="12"/>
      <c r="BR526" s="12"/>
    </row>
    <row r="527">
      <c r="AB527" s="12"/>
      <c r="AC527" s="12"/>
      <c r="AD527" s="12"/>
      <c r="AE527" s="12"/>
      <c r="AF527" s="12"/>
      <c r="AY527" s="12"/>
      <c r="AZ527" s="12"/>
      <c r="BA527" s="12"/>
      <c r="BB527" s="12"/>
      <c r="BO527" s="12"/>
      <c r="BP527" s="12"/>
      <c r="BQ527" s="12"/>
      <c r="BR527" s="12"/>
    </row>
    <row r="528">
      <c r="AB528" s="12"/>
      <c r="AC528" s="12"/>
      <c r="AD528" s="12"/>
      <c r="AE528" s="12"/>
      <c r="AF528" s="12"/>
      <c r="AY528" s="12"/>
      <c r="AZ528" s="12"/>
      <c r="BA528" s="12"/>
      <c r="BB528" s="12"/>
      <c r="BO528" s="12"/>
      <c r="BP528" s="12"/>
      <c r="BQ528" s="12"/>
      <c r="BR528" s="12"/>
    </row>
    <row r="529">
      <c r="AB529" s="12"/>
      <c r="AC529" s="12"/>
      <c r="AD529" s="12"/>
      <c r="AE529" s="12"/>
      <c r="AF529" s="12"/>
      <c r="AY529" s="12"/>
      <c r="AZ529" s="12"/>
      <c r="BA529" s="12"/>
      <c r="BB529" s="12"/>
      <c r="BO529" s="12"/>
      <c r="BP529" s="12"/>
      <c r="BQ529" s="12"/>
      <c r="BR529" s="12"/>
    </row>
    <row r="530">
      <c r="AB530" s="12"/>
      <c r="AC530" s="12"/>
      <c r="AD530" s="12"/>
      <c r="AE530" s="12"/>
      <c r="AF530" s="12"/>
      <c r="AY530" s="12"/>
      <c r="AZ530" s="12"/>
      <c r="BA530" s="12"/>
      <c r="BB530" s="12"/>
      <c r="BO530" s="12"/>
      <c r="BP530" s="12"/>
      <c r="BQ530" s="12"/>
      <c r="BR530" s="12"/>
    </row>
    <row r="531">
      <c r="AB531" s="12"/>
      <c r="AC531" s="12"/>
      <c r="AD531" s="12"/>
      <c r="AE531" s="12"/>
      <c r="AF531" s="12"/>
      <c r="AY531" s="12"/>
      <c r="AZ531" s="12"/>
      <c r="BA531" s="12"/>
      <c r="BB531" s="12"/>
      <c r="BO531" s="12"/>
      <c r="BP531" s="12"/>
      <c r="BQ531" s="12"/>
      <c r="BR531" s="12"/>
    </row>
    <row r="532">
      <c r="AB532" s="12"/>
      <c r="AC532" s="12"/>
      <c r="AD532" s="12"/>
      <c r="AE532" s="12"/>
      <c r="AF532" s="12"/>
      <c r="AY532" s="12"/>
      <c r="AZ532" s="12"/>
      <c r="BA532" s="12"/>
      <c r="BB532" s="12"/>
      <c r="BO532" s="12"/>
      <c r="BP532" s="12"/>
      <c r="BQ532" s="12"/>
      <c r="BR532" s="12"/>
    </row>
    <row r="533">
      <c r="AB533" s="12"/>
      <c r="AC533" s="12"/>
      <c r="AD533" s="12"/>
      <c r="AE533" s="12"/>
      <c r="AF533" s="12"/>
      <c r="AY533" s="12"/>
      <c r="AZ533" s="12"/>
      <c r="BA533" s="12"/>
      <c r="BB533" s="12"/>
      <c r="BO533" s="12"/>
      <c r="BP533" s="12"/>
      <c r="BQ533" s="12"/>
      <c r="BR533" s="12"/>
    </row>
    <row r="534">
      <c r="AB534" s="12"/>
      <c r="AC534" s="12"/>
      <c r="AD534" s="12"/>
      <c r="AE534" s="12"/>
      <c r="AF534" s="12"/>
      <c r="AY534" s="12"/>
      <c r="AZ534" s="12"/>
      <c r="BA534" s="12"/>
      <c r="BB534" s="12"/>
      <c r="BO534" s="12"/>
      <c r="BP534" s="12"/>
      <c r="BQ534" s="12"/>
      <c r="BR534" s="12"/>
    </row>
    <row r="535">
      <c r="AB535" s="12"/>
      <c r="AC535" s="12"/>
      <c r="AD535" s="12"/>
      <c r="AE535" s="12"/>
      <c r="AF535" s="12"/>
      <c r="AY535" s="12"/>
      <c r="AZ535" s="12"/>
      <c r="BA535" s="12"/>
      <c r="BB535" s="12"/>
      <c r="BO535" s="12"/>
      <c r="BP535" s="12"/>
      <c r="BQ535" s="12"/>
      <c r="BR535" s="12"/>
    </row>
    <row r="536">
      <c r="AB536" s="12"/>
      <c r="AC536" s="12"/>
      <c r="AD536" s="12"/>
      <c r="AE536" s="12"/>
      <c r="AF536" s="12"/>
      <c r="AY536" s="12"/>
      <c r="AZ536" s="12"/>
      <c r="BA536" s="12"/>
      <c r="BB536" s="12"/>
      <c r="BO536" s="12"/>
      <c r="BP536" s="12"/>
      <c r="BQ536" s="12"/>
      <c r="BR536" s="12"/>
    </row>
    <row r="537">
      <c r="AB537" s="12"/>
      <c r="AC537" s="12"/>
      <c r="AD537" s="12"/>
      <c r="AE537" s="12"/>
      <c r="AF537" s="12"/>
      <c r="AY537" s="12"/>
      <c r="AZ537" s="12"/>
      <c r="BA537" s="12"/>
      <c r="BB537" s="12"/>
      <c r="BO537" s="12"/>
      <c r="BP537" s="12"/>
      <c r="BQ537" s="12"/>
      <c r="BR537" s="12"/>
    </row>
    <row r="538">
      <c r="AB538" s="12"/>
      <c r="AC538" s="12"/>
      <c r="AD538" s="12"/>
      <c r="AE538" s="12"/>
      <c r="AF538" s="12"/>
      <c r="AY538" s="12"/>
      <c r="AZ538" s="12"/>
      <c r="BA538" s="12"/>
      <c r="BB538" s="12"/>
      <c r="BO538" s="12"/>
      <c r="BP538" s="12"/>
      <c r="BQ538" s="12"/>
      <c r="BR538" s="12"/>
    </row>
    <row r="539">
      <c r="AB539" s="12"/>
      <c r="AC539" s="12"/>
      <c r="AD539" s="12"/>
      <c r="AE539" s="12"/>
      <c r="AF539" s="12"/>
      <c r="AY539" s="12"/>
      <c r="AZ539" s="12"/>
      <c r="BA539" s="12"/>
      <c r="BB539" s="12"/>
      <c r="BO539" s="12"/>
      <c r="BP539" s="12"/>
      <c r="BQ539" s="12"/>
      <c r="BR539" s="12"/>
    </row>
    <row r="540">
      <c r="AB540" s="12"/>
      <c r="AC540" s="12"/>
      <c r="AD540" s="12"/>
      <c r="AE540" s="12"/>
      <c r="AF540" s="12"/>
      <c r="AY540" s="12"/>
      <c r="AZ540" s="12"/>
      <c r="BA540" s="12"/>
      <c r="BB540" s="12"/>
      <c r="BO540" s="12"/>
      <c r="BP540" s="12"/>
      <c r="BQ540" s="12"/>
      <c r="BR540" s="12"/>
    </row>
    <row r="541">
      <c r="AB541" s="12"/>
      <c r="AC541" s="12"/>
      <c r="AD541" s="12"/>
      <c r="AE541" s="12"/>
      <c r="AF541" s="12"/>
      <c r="AY541" s="12"/>
      <c r="AZ541" s="12"/>
      <c r="BA541" s="12"/>
      <c r="BB541" s="12"/>
      <c r="BO541" s="12"/>
      <c r="BP541" s="12"/>
      <c r="BQ541" s="12"/>
      <c r="BR541" s="12"/>
    </row>
    <row r="542">
      <c r="AB542" s="12"/>
      <c r="AC542" s="12"/>
      <c r="AD542" s="12"/>
      <c r="AE542" s="12"/>
      <c r="AF542" s="12"/>
      <c r="AY542" s="12"/>
      <c r="AZ542" s="12"/>
      <c r="BA542" s="12"/>
      <c r="BB542" s="12"/>
      <c r="BO542" s="12"/>
      <c r="BP542" s="12"/>
      <c r="BQ542" s="12"/>
      <c r="BR542" s="12"/>
    </row>
    <row r="543">
      <c r="AB543" s="12"/>
      <c r="AC543" s="12"/>
      <c r="AD543" s="12"/>
      <c r="AE543" s="12"/>
      <c r="AF543" s="12"/>
      <c r="AY543" s="12"/>
      <c r="AZ543" s="12"/>
      <c r="BA543" s="12"/>
      <c r="BB543" s="12"/>
      <c r="BO543" s="12"/>
      <c r="BP543" s="12"/>
      <c r="BQ543" s="12"/>
      <c r="BR543" s="12"/>
    </row>
    <row r="544">
      <c r="AB544" s="12"/>
      <c r="AC544" s="12"/>
      <c r="AD544" s="12"/>
      <c r="AE544" s="12"/>
      <c r="AF544" s="12"/>
      <c r="AY544" s="12"/>
      <c r="AZ544" s="12"/>
      <c r="BA544" s="12"/>
      <c r="BB544" s="12"/>
      <c r="BO544" s="12"/>
      <c r="BP544" s="12"/>
      <c r="BQ544" s="12"/>
      <c r="BR544" s="12"/>
    </row>
    <row r="545">
      <c r="AB545" s="12"/>
      <c r="AC545" s="12"/>
      <c r="AD545" s="12"/>
      <c r="AE545" s="12"/>
      <c r="AF545" s="12"/>
      <c r="AY545" s="12"/>
      <c r="AZ545" s="12"/>
      <c r="BA545" s="12"/>
      <c r="BB545" s="12"/>
      <c r="BO545" s="12"/>
      <c r="BP545" s="12"/>
      <c r="BQ545" s="12"/>
      <c r="BR545" s="12"/>
    </row>
    <row r="546">
      <c r="AB546" s="12"/>
      <c r="AC546" s="12"/>
      <c r="AD546" s="12"/>
      <c r="AE546" s="12"/>
      <c r="AF546" s="12"/>
      <c r="AY546" s="12"/>
      <c r="AZ546" s="12"/>
      <c r="BA546" s="12"/>
      <c r="BB546" s="12"/>
      <c r="BO546" s="12"/>
      <c r="BP546" s="12"/>
      <c r="BQ546" s="12"/>
      <c r="BR546" s="12"/>
    </row>
    <row r="547">
      <c r="AB547" s="12"/>
      <c r="AC547" s="12"/>
      <c r="AD547" s="12"/>
      <c r="AE547" s="12"/>
      <c r="AF547" s="12"/>
      <c r="AY547" s="12"/>
      <c r="AZ547" s="12"/>
      <c r="BA547" s="12"/>
      <c r="BB547" s="12"/>
      <c r="BO547" s="12"/>
      <c r="BP547" s="12"/>
      <c r="BQ547" s="12"/>
      <c r="BR547" s="12"/>
    </row>
    <row r="548">
      <c r="AB548" s="12"/>
      <c r="AC548" s="12"/>
      <c r="AD548" s="12"/>
      <c r="AE548" s="12"/>
      <c r="AF548" s="12"/>
      <c r="AY548" s="12"/>
      <c r="AZ548" s="12"/>
      <c r="BA548" s="12"/>
      <c r="BB548" s="12"/>
      <c r="BO548" s="12"/>
      <c r="BP548" s="12"/>
      <c r="BQ548" s="12"/>
      <c r="BR548" s="12"/>
    </row>
    <row r="549">
      <c r="AB549" s="12"/>
      <c r="AC549" s="12"/>
      <c r="AD549" s="12"/>
      <c r="AE549" s="12"/>
      <c r="AF549" s="12"/>
      <c r="AY549" s="12"/>
      <c r="AZ549" s="12"/>
      <c r="BA549" s="12"/>
      <c r="BB549" s="12"/>
      <c r="BO549" s="12"/>
      <c r="BP549" s="12"/>
      <c r="BQ549" s="12"/>
      <c r="BR549" s="12"/>
    </row>
    <row r="550">
      <c r="AB550" s="12"/>
      <c r="AC550" s="12"/>
      <c r="AD550" s="12"/>
      <c r="AE550" s="12"/>
      <c r="AF550" s="12"/>
      <c r="AY550" s="12"/>
      <c r="AZ550" s="12"/>
      <c r="BA550" s="12"/>
      <c r="BB550" s="12"/>
      <c r="BO550" s="12"/>
      <c r="BP550" s="12"/>
      <c r="BQ550" s="12"/>
      <c r="BR550" s="12"/>
    </row>
    <row r="551">
      <c r="AB551" s="12"/>
      <c r="AC551" s="12"/>
      <c r="AD551" s="12"/>
      <c r="AE551" s="12"/>
      <c r="AF551" s="12"/>
      <c r="AY551" s="12"/>
      <c r="AZ551" s="12"/>
      <c r="BA551" s="12"/>
      <c r="BB551" s="12"/>
      <c r="BO551" s="12"/>
      <c r="BP551" s="12"/>
      <c r="BQ551" s="12"/>
      <c r="BR551" s="12"/>
    </row>
    <row r="552">
      <c r="AB552" s="12"/>
      <c r="AC552" s="12"/>
      <c r="AD552" s="12"/>
      <c r="AE552" s="12"/>
      <c r="AF552" s="12"/>
      <c r="AY552" s="12"/>
      <c r="AZ552" s="12"/>
      <c r="BA552" s="12"/>
      <c r="BB552" s="12"/>
      <c r="BO552" s="12"/>
      <c r="BP552" s="12"/>
      <c r="BQ552" s="12"/>
      <c r="BR552" s="12"/>
    </row>
    <row r="553">
      <c r="AB553" s="12"/>
      <c r="AC553" s="12"/>
      <c r="AD553" s="12"/>
      <c r="AE553" s="12"/>
      <c r="AF553" s="12"/>
      <c r="AY553" s="12"/>
      <c r="AZ553" s="12"/>
      <c r="BA553" s="12"/>
      <c r="BB553" s="12"/>
      <c r="BO553" s="12"/>
      <c r="BP553" s="12"/>
      <c r="BQ553" s="12"/>
      <c r="BR553" s="12"/>
    </row>
    <row r="554">
      <c r="AB554" s="12"/>
      <c r="AC554" s="12"/>
      <c r="AD554" s="12"/>
      <c r="AE554" s="12"/>
      <c r="AF554" s="12"/>
      <c r="AY554" s="12"/>
      <c r="AZ554" s="12"/>
      <c r="BA554" s="12"/>
      <c r="BB554" s="12"/>
      <c r="BO554" s="12"/>
      <c r="BP554" s="12"/>
      <c r="BQ554" s="12"/>
      <c r="BR554" s="12"/>
    </row>
    <row r="555">
      <c r="AB555" s="12"/>
      <c r="AC555" s="12"/>
      <c r="AD555" s="12"/>
      <c r="AE555" s="12"/>
      <c r="AF555" s="12"/>
      <c r="AY555" s="12"/>
      <c r="AZ555" s="12"/>
      <c r="BA555" s="12"/>
      <c r="BB555" s="12"/>
      <c r="BO555" s="12"/>
      <c r="BP555" s="12"/>
      <c r="BQ555" s="12"/>
      <c r="BR555" s="12"/>
    </row>
    <row r="556">
      <c r="AB556" s="12"/>
      <c r="AC556" s="12"/>
      <c r="AD556" s="12"/>
      <c r="AE556" s="12"/>
      <c r="AF556" s="12"/>
      <c r="AY556" s="12"/>
      <c r="AZ556" s="12"/>
      <c r="BA556" s="12"/>
      <c r="BB556" s="12"/>
      <c r="BO556" s="12"/>
      <c r="BP556" s="12"/>
      <c r="BQ556" s="12"/>
      <c r="BR556" s="12"/>
    </row>
    <row r="557">
      <c r="AB557" s="12"/>
      <c r="AC557" s="12"/>
      <c r="AD557" s="12"/>
      <c r="AE557" s="12"/>
      <c r="AF557" s="12"/>
      <c r="AY557" s="12"/>
      <c r="AZ557" s="12"/>
      <c r="BA557" s="12"/>
      <c r="BB557" s="12"/>
      <c r="BO557" s="12"/>
      <c r="BP557" s="12"/>
      <c r="BQ557" s="12"/>
      <c r="BR557" s="12"/>
    </row>
    <row r="558">
      <c r="AB558" s="12"/>
      <c r="AC558" s="12"/>
      <c r="AD558" s="12"/>
      <c r="AE558" s="12"/>
      <c r="AF558" s="12"/>
      <c r="AY558" s="12"/>
      <c r="AZ558" s="12"/>
      <c r="BA558" s="12"/>
      <c r="BB558" s="12"/>
      <c r="BO558" s="12"/>
      <c r="BP558" s="12"/>
      <c r="BQ558" s="12"/>
      <c r="BR558" s="12"/>
    </row>
    <row r="559">
      <c r="AB559" s="12"/>
      <c r="AC559" s="12"/>
      <c r="AD559" s="12"/>
      <c r="AE559" s="12"/>
      <c r="AF559" s="12"/>
      <c r="AY559" s="12"/>
      <c r="AZ559" s="12"/>
      <c r="BA559" s="12"/>
      <c r="BB559" s="12"/>
      <c r="BO559" s="12"/>
      <c r="BP559" s="12"/>
      <c r="BQ559" s="12"/>
      <c r="BR559" s="12"/>
    </row>
    <row r="560">
      <c r="AB560" s="12"/>
      <c r="AC560" s="12"/>
      <c r="AD560" s="12"/>
      <c r="AE560" s="12"/>
      <c r="AF560" s="12"/>
      <c r="AY560" s="12"/>
      <c r="AZ560" s="12"/>
      <c r="BA560" s="12"/>
      <c r="BB560" s="12"/>
      <c r="BO560" s="12"/>
      <c r="BP560" s="12"/>
      <c r="BQ560" s="12"/>
      <c r="BR560" s="12"/>
    </row>
    <row r="561">
      <c r="AB561" s="12"/>
      <c r="AC561" s="12"/>
      <c r="AD561" s="12"/>
      <c r="AE561" s="12"/>
      <c r="AF561" s="12"/>
      <c r="AY561" s="12"/>
      <c r="AZ561" s="12"/>
      <c r="BA561" s="12"/>
      <c r="BB561" s="12"/>
      <c r="BO561" s="12"/>
      <c r="BP561" s="12"/>
      <c r="BQ561" s="12"/>
      <c r="BR561" s="12"/>
    </row>
    <row r="562">
      <c r="AB562" s="12"/>
      <c r="AC562" s="12"/>
      <c r="AD562" s="12"/>
      <c r="AE562" s="12"/>
      <c r="AF562" s="12"/>
      <c r="AY562" s="12"/>
      <c r="AZ562" s="12"/>
      <c r="BA562" s="12"/>
      <c r="BB562" s="12"/>
      <c r="BO562" s="12"/>
      <c r="BP562" s="12"/>
      <c r="BQ562" s="12"/>
      <c r="BR562" s="12"/>
    </row>
    <row r="563">
      <c r="AB563" s="12"/>
      <c r="AC563" s="12"/>
      <c r="AD563" s="12"/>
      <c r="AE563" s="12"/>
      <c r="AF563" s="12"/>
      <c r="AY563" s="12"/>
      <c r="AZ563" s="12"/>
      <c r="BA563" s="12"/>
      <c r="BB563" s="12"/>
      <c r="BO563" s="12"/>
      <c r="BP563" s="12"/>
      <c r="BQ563" s="12"/>
      <c r="BR563" s="12"/>
    </row>
    <row r="564">
      <c r="AB564" s="12"/>
      <c r="AC564" s="12"/>
      <c r="AD564" s="12"/>
      <c r="AE564" s="12"/>
      <c r="AF564" s="12"/>
      <c r="AY564" s="12"/>
      <c r="AZ564" s="12"/>
      <c r="BA564" s="12"/>
      <c r="BB564" s="12"/>
      <c r="BO564" s="12"/>
      <c r="BP564" s="12"/>
      <c r="BQ564" s="12"/>
      <c r="BR564" s="12"/>
    </row>
    <row r="565">
      <c r="AB565" s="12"/>
      <c r="AC565" s="12"/>
      <c r="AD565" s="12"/>
      <c r="AE565" s="12"/>
      <c r="AF565" s="12"/>
      <c r="AY565" s="12"/>
      <c r="AZ565" s="12"/>
      <c r="BA565" s="12"/>
      <c r="BB565" s="12"/>
      <c r="BO565" s="12"/>
      <c r="BP565" s="12"/>
      <c r="BQ565" s="12"/>
      <c r="BR565" s="12"/>
    </row>
    <row r="566">
      <c r="AB566" s="12"/>
      <c r="AC566" s="12"/>
      <c r="AD566" s="12"/>
      <c r="AE566" s="12"/>
      <c r="AF566" s="12"/>
      <c r="AY566" s="12"/>
      <c r="AZ566" s="12"/>
      <c r="BA566" s="12"/>
      <c r="BB566" s="12"/>
      <c r="BO566" s="12"/>
      <c r="BP566" s="12"/>
      <c r="BQ566" s="12"/>
      <c r="BR566" s="12"/>
    </row>
    <row r="567">
      <c r="AB567" s="12"/>
      <c r="AC567" s="12"/>
      <c r="AD567" s="12"/>
      <c r="AE567" s="12"/>
      <c r="AF567" s="12"/>
      <c r="AY567" s="12"/>
      <c r="AZ567" s="12"/>
      <c r="BA567" s="12"/>
      <c r="BB567" s="12"/>
      <c r="BO567" s="12"/>
      <c r="BP567" s="12"/>
      <c r="BQ567" s="12"/>
      <c r="BR567" s="12"/>
    </row>
    <row r="568">
      <c r="AB568" s="12"/>
      <c r="AC568" s="12"/>
      <c r="AD568" s="12"/>
      <c r="AE568" s="12"/>
      <c r="AF568" s="12"/>
      <c r="AY568" s="12"/>
      <c r="AZ568" s="12"/>
      <c r="BA568" s="12"/>
      <c r="BB568" s="12"/>
      <c r="BO568" s="12"/>
      <c r="BP568" s="12"/>
      <c r="BQ568" s="12"/>
      <c r="BR568" s="12"/>
    </row>
    <row r="569">
      <c r="AB569" s="12"/>
      <c r="AC569" s="12"/>
      <c r="AD569" s="12"/>
      <c r="AE569" s="12"/>
      <c r="AF569" s="12"/>
      <c r="AY569" s="12"/>
      <c r="AZ569" s="12"/>
      <c r="BA569" s="12"/>
      <c r="BB569" s="12"/>
      <c r="BO569" s="12"/>
      <c r="BP569" s="12"/>
      <c r="BQ569" s="12"/>
      <c r="BR569" s="12"/>
    </row>
    <row r="570">
      <c r="AB570" s="12"/>
      <c r="AC570" s="12"/>
      <c r="AD570" s="12"/>
      <c r="AE570" s="12"/>
      <c r="AF570" s="12"/>
      <c r="AY570" s="12"/>
      <c r="AZ570" s="12"/>
      <c r="BA570" s="12"/>
      <c r="BB570" s="12"/>
      <c r="BO570" s="12"/>
      <c r="BP570" s="12"/>
      <c r="BQ570" s="12"/>
      <c r="BR570" s="12"/>
    </row>
    <row r="571">
      <c r="AB571" s="12"/>
      <c r="AC571" s="12"/>
      <c r="AD571" s="12"/>
      <c r="AE571" s="12"/>
      <c r="AF571" s="12"/>
      <c r="AY571" s="12"/>
      <c r="AZ571" s="12"/>
      <c r="BA571" s="12"/>
      <c r="BB571" s="12"/>
      <c r="BO571" s="12"/>
      <c r="BP571" s="12"/>
      <c r="BQ571" s="12"/>
      <c r="BR571" s="12"/>
    </row>
    <row r="572">
      <c r="AB572" s="12"/>
      <c r="AC572" s="12"/>
      <c r="AD572" s="12"/>
      <c r="AE572" s="12"/>
      <c r="AF572" s="12"/>
      <c r="AY572" s="12"/>
      <c r="AZ572" s="12"/>
      <c r="BA572" s="12"/>
      <c r="BB572" s="12"/>
      <c r="BO572" s="12"/>
      <c r="BP572" s="12"/>
      <c r="BQ572" s="12"/>
      <c r="BR572" s="12"/>
    </row>
    <row r="573">
      <c r="AB573" s="12"/>
      <c r="AC573" s="12"/>
      <c r="AD573" s="12"/>
      <c r="AE573" s="12"/>
      <c r="AF573" s="12"/>
      <c r="AY573" s="12"/>
      <c r="AZ573" s="12"/>
      <c r="BA573" s="12"/>
      <c r="BB573" s="12"/>
      <c r="BO573" s="12"/>
      <c r="BP573" s="12"/>
      <c r="BQ573" s="12"/>
      <c r="BR573" s="12"/>
    </row>
    <row r="574">
      <c r="AB574" s="12"/>
      <c r="AC574" s="12"/>
      <c r="AD574" s="12"/>
      <c r="AE574" s="12"/>
      <c r="AF574" s="12"/>
      <c r="AY574" s="12"/>
      <c r="AZ574" s="12"/>
      <c r="BA574" s="12"/>
      <c r="BB574" s="12"/>
      <c r="BO574" s="12"/>
      <c r="BP574" s="12"/>
      <c r="BQ574" s="12"/>
      <c r="BR574" s="12"/>
    </row>
    <row r="575">
      <c r="AB575" s="12"/>
      <c r="AC575" s="12"/>
      <c r="AD575" s="12"/>
      <c r="AE575" s="12"/>
      <c r="AF575" s="12"/>
      <c r="AY575" s="12"/>
      <c r="AZ575" s="12"/>
      <c r="BA575" s="12"/>
      <c r="BB575" s="12"/>
      <c r="BO575" s="12"/>
      <c r="BP575" s="12"/>
      <c r="BQ575" s="12"/>
      <c r="BR575" s="12"/>
    </row>
    <row r="576">
      <c r="AB576" s="12"/>
      <c r="AC576" s="12"/>
      <c r="AD576" s="12"/>
      <c r="AE576" s="12"/>
      <c r="AF576" s="12"/>
      <c r="AY576" s="12"/>
      <c r="AZ576" s="12"/>
      <c r="BA576" s="12"/>
      <c r="BB576" s="12"/>
      <c r="BO576" s="12"/>
      <c r="BP576" s="12"/>
      <c r="BQ576" s="12"/>
      <c r="BR576" s="12"/>
    </row>
    <row r="577">
      <c r="AB577" s="12"/>
      <c r="AC577" s="12"/>
      <c r="AD577" s="12"/>
      <c r="AE577" s="12"/>
      <c r="AF577" s="12"/>
      <c r="AY577" s="12"/>
      <c r="AZ577" s="12"/>
      <c r="BA577" s="12"/>
      <c r="BB577" s="12"/>
      <c r="BO577" s="12"/>
      <c r="BP577" s="12"/>
      <c r="BQ577" s="12"/>
      <c r="BR577" s="12"/>
    </row>
    <row r="578">
      <c r="AB578" s="12"/>
      <c r="AC578" s="12"/>
      <c r="AD578" s="12"/>
      <c r="AE578" s="12"/>
      <c r="AF578" s="12"/>
      <c r="AY578" s="12"/>
      <c r="AZ578" s="12"/>
      <c r="BA578" s="12"/>
      <c r="BB578" s="12"/>
      <c r="BO578" s="12"/>
      <c r="BP578" s="12"/>
      <c r="BQ578" s="12"/>
      <c r="BR578" s="12"/>
    </row>
    <row r="579">
      <c r="AB579" s="12"/>
      <c r="AC579" s="12"/>
      <c r="AD579" s="12"/>
      <c r="AE579" s="12"/>
      <c r="AF579" s="12"/>
      <c r="AY579" s="12"/>
      <c r="AZ579" s="12"/>
      <c r="BA579" s="12"/>
      <c r="BB579" s="12"/>
      <c r="BO579" s="12"/>
      <c r="BP579" s="12"/>
      <c r="BQ579" s="12"/>
      <c r="BR579" s="12"/>
    </row>
    <row r="580">
      <c r="AB580" s="12"/>
      <c r="AC580" s="12"/>
      <c r="AD580" s="12"/>
      <c r="AE580" s="12"/>
      <c r="AF580" s="12"/>
      <c r="AY580" s="12"/>
      <c r="AZ580" s="12"/>
      <c r="BA580" s="12"/>
      <c r="BB580" s="12"/>
      <c r="BO580" s="12"/>
      <c r="BP580" s="12"/>
      <c r="BQ580" s="12"/>
      <c r="BR580" s="12"/>
    </row>
    <row r="581">
      <c r="AB581" s="12"/>
      <c r="AC581" s="12"/>
      <c r="AD581" s="12"/>
      <c r="AE581" s="12"/>
      <c r="AF581" s="12"/>
      <c r="AY581" s="12"/>
      <c r="AZ581" s="12"/>
      <c r="BA581" s="12"/>
      <c r="BB581" s="12"/>
      <c r="BO581" s="12"/>
      <c r="BP581" s="12"/>
      <c r="BQ581" s="12"/>
      <c r="BR581" s="12"/>
    </row>
    <row r="582">
      <c r="AB582" s="12"/>
      <c r="AC582" s="12"/>
      <c r="AD582" s="12"/>
      <c r="AE582" s="12"/>
      <c r="AF582" s="12"/>
      <c r="AY582" s="12"/>
      <c r="AZ582" s="12"/>
      <c r="BA582" s="12"/>
      <c r="BB582" s="12"/>
      <c r="BO582" s="12"/>
      <c r="BP582" s="12"/>
      <c r="BQ582" s="12"/>
      <c r="BR582" s="12"/>
    </row>
    <row r="583">
      <c r="AB583" s="12"/>
      <c r="AC583" s="12"/>
      <c r="AD583" s="12"/>
      <c r="AE583" s="12"/>
      <c r="AF583" s="12"/>
      <c r="AY583" s="12"/>
      <c r="AZ583" s="12"/>
      <c r="BA583" s="12"/>
      <c r="BB583" s="12"/>
      <c r="BO583" s="12"/>
      <c r="BP583" s="12"/>
      <c r="BQ583" s="12"/>
      <c r="BR583" s="12"/>
    </row>
    <row r="584">
      <c r="AB584" s="12"/>
      <c r="AC584" s="12"/>
      <c r="AD584" s="12"/>
      <c r="AE584" s="12"/>
      <c r="AF584" s="12"/>
      <c r="AY584" s="12"/>
      <c r="AZ584" s="12"/>
      <c r="BA584" s="12"/>
      <c r="BB584" s="12"/>
      <c r="BO584" s="12"/>
      <c r="BP584" s="12"/>
      <c r="BQ584" s="12"/>
      <c r="BR584" s="12"/>
    </row>
    <row r="585">
      <c r="AB585" s="12"/>
      <c r="AC585" s="12"/>
      <c r="AD585" s="12"/>
      <c r="AE585" s="12"/>
      <c r="AF585" s="12"/>
      <c r="AY585" s="12"/>
      <c r="AZ585" s="12"/>
      <c r="BA585" s="12"/>
      <c r="BB585" s="12"/>
      <c r="BO585" s="12"/>
      <c r="BP585" s="12"/>
      <c r="BQ585" s="12"/>
      <c r="BR585" s="12"/>
    </row>
    <row r="586">
      <c r="AB586" s="12"/>
      <c r="AC586" s="12"/>
      <c r="AD586" s="12"/>
      <c r="AE586" s="12"/>
      <c r="AF586" s="12"/>
      <c r="AY586" s="12"/>
      <c r="AZ586" s="12"/>
      <c r="BA586" s="12"/>
      <c r="BB586" s="12"/>
      <c r="BO586" s="12"/>
      <c r="BP586" s="12"/>
      <c r="BQ586" s="12"/>
      <c r="BR586" s="12"/>
    </row>
    <row r="587">
      <c r="AB587" s="12"/>
      <c r="AC587" s="12"/>
      <c r="AD587" s="12"/>
      <c r="AE587" s="12"/>
      <c r="AF587" s="12"/>
      <c r="AY587" s="12"/>
      <c r="AZ587" s="12"/>
      <c r="BA587" s="12"/>
      <c r="BB587" s="12"/>
      <c r="BO587" s="12"/>
      <c r="BP587" s="12"/>
      <c r="BQ587" s="12"/>
      <c r="BR587" s="12"/>
    </row>
    <row r="588">
      <c r="AB588" s="12"/>
      <c r="AC588" s="12"/>
      <c r="AD588" s="12"/>
      <c r="AE588" s="12"/>
      <c r="AF588" s="12"/>
      <c r="AY588" s="12"/>
      <c r="AZ588" s="12"/>
      <c r="BA588" s="12"/>
      <c r="BB588" s="12"/>
      <c r="BO588" s="12"/>
      <c r="BP588" s="12"/>
      <c r="BQ588" s="12"/>
      <c r="BR588" s="12"/>
    </row>
    <row r="589">
      <c r="AB589" s="12"/>
      <c r="AC589" s="12"/>
      <c r="AD589" s="12"/>
      <c r="AE589" s="12"/>
      <c r="AF589" s="12"/>
      <c r="AY589" s="12"/>
      <c r="AZ589" s="12"/>
      <c r="BA589" s="12"/>
      <c r="BB589" s="12"/>
      <c r="BO589" s="12"/>
      <c r="BP589" s="12"/>
      <c r="BQ589" s="12"/>
      <c r="BR589" s="12"/>
    </row>
    <row r="590">
      <c r="AB590" s="12"/>
      <c r="AC590" s="12"/>
      <c r="AD590" s="12"/>
      <c r="AE590" s="12"/>
      <c r="AF590" s="12"/>
      <c r="AY590" s="12"/>
      <c r="AZ590" s="12"/>
      <c r="BA590" s="12"/>
      <c r="BB590" s="12"/>
      <c r="BO590" s="12"/>
      <c r="BP590" s="12"/>
      <c r="BQ590" s="12"/>
      <c r="BR590" s="12"/>
    </row>
    <row r="591">
      <c r="AB591" s="12"/>
      <c r="AC591" s="12"/>
      <c r="AD591" s="12"/>
      <c r="AE591" s="12"/>
      <c r="AF591" s="12"/>
      <c r="AY591" s="12"/>
      <c r="AZ591" s="12"/>
      <c r="BA591" s="12"/>
      <c r="BB591" s="12"/>
      <c r="BO591" s="12"/>
      <c r="BP591" s="12"/>
      <c r="BQ591" s="12"/>
      <c r="BR591" s="12"/>
    </row>
    <row r="592">
      <c r="AB592" s="12"/>
      <c r="AC592" s="12"/>
      <c r="AD592" s="12"/>
      <c r="AE592" s="12"/>
      <c r="AF592" s="12"/>
      <c r="AY592" s="12"/>
      <c r="AZ592" s="12"/>
      <c r="BA592" s="12"/>
      <c r="BB592" s="12"/>
      <c r="BO592" s="12"/>
      <c r="BP592" s="12"/>
      <c r="BQ592" s="12"/>
      <c r="BR592" s="12"/>
    </row>
    <row r="593">
      <c r="AB593" s="12"/>
      <c r="AC593" s="12"/>
      <c r="AD593" s="12"/>
      <c r="AE593" s="12"/>
      <c r="AF593" s="12"/>
      <c r="AY593" s="12"/>
      <c r="AZ593" s="12"/>
      <c r="BA593" s="12"/>
      <c r="BB593" s="12"/>
      <c r="BO593" s="12"/>
      <c r="BP593" s="12"/>
      <c r="BQ593" s="12"/>
      <c r="BR593" s="12"/>
    </row>
    <row r="594">
      <c r="AB594" s="12"/>
      <c r="AC594" s="12"/>
      <c r="AD594" s="12"/>
      <c r="AE594" s="12"/>
      <c r="AF594" s="12"/>
      <c r="AY594" s="12"/>
      <c r="AZ594" s="12"/>
      <c r="BA594" s="12"/>
      <c r="BB594" s="12"/>
      <c r="BO594" s="12"/>
      <c r="BP594" s="12"/>
      <c r="BQ594" s="12"/>
      <c r="BR594" s="12"/>
    </row>
    <row r="595">
      <c r="AB595" s="12"/>
      <c r="AC595" s="12"/>
      <c r="AD595" s="12"/>
      <c r="AE595" s="12"/>
      <c r="AF595" s="12"/>
      <c r="AY595" s="12"/>
      <c r="AZ595" s="12"/>
      <c r="BA595" s="12"/>
      <c r="BB595" s="12"/>
      <c r="BO595" s="12"/>
      <c r="BP595" s="12"/>
      <c r="BQ595" s="12"/>
      <c r="BR595" s="12"/>
    </row>
    <row r="596">
      <c r="AB596" s="12"/>
      <c r="AC596" s="12"/>
      <c r="AD596" s="12"/>
      <c r="AE596" s="12"/>
      <c r="AF596" s="12"/>
      <c r="AY596" s="12"/>
      <c r="AZ596" s="12"/>
      <c r="BA596" s="12"/>
      <c r="BB596" s="12"/>
      <c r="BO596" s="12"/>
      <c r="BP596" s="12"/>
      <c r="BQ596" s="12"/>
      <c r="BR596" s="12"/>
    </row>
    <row r="597">
      <c r="AB597" s="12"/>
      <c r="AC597" s="12"/>
      <c r="AD597" s="12"/>
      <c r="AE597" s="12"/>
      <c r="AF597" s="12"/>
      <c r="AY597" s="12"/>
      <c r="AZ597" s="12"/>
      <c r="BA597" s="12"/>
      <c r="BB597" s="12"/>
      <c r="BO597" s="12"/>
      <c r="BP597" s="12"/>
      <c r="BQ597" s="12"/>
      <c r="BR597" s="12"/>
    </row>
    <row r="598">
      <c r="AB598" s="12"/>
      <c r="AC598" s="12"/>
      <c r="AD598" s="12"/>
      <c r="AE598" s="12"/>
      <c r="AF598" s="12"/>
      <c r="AY598" s="12"/>
      <c r="AZ598" s="12"/>
      <c r="BA598" s="12"/>
      <c r="BB598" s="12"/>
      <c r="BO598" s="12"/>
      <c r="BP598" s="12"/>
      <c r="BQ598" s="12"/>
      <c r="BR598" s="12"/>
    </row>
    <row r="599">
      <c r="AB599" s="12"/>
      <c r="AC599" s="12"/>
      <c r="AD599" s="12"/>
      <c r="AE599" s="12"/>
      <c r="AF599" s="12"/>
      <c r="AY599" s="12"/>
      <c r="AZ599" s="12"/>
      <c r="BA599" s="12"/>
      <c r="BB599" s="12"/>
      <c r="BO599" s="12"/>
      <c r="BP599" s="12"/>
      <c r="BQ599" s="12"/>
      <c r="BR599" s="12"/>
    </row>
    <row r="600">
      <c r="AB600" s="12"/>
      <c r="AC600" s="12"/>
      <c r="AD600" s="12"/>
      <c r="AE600" s="12"/>
      <c r="AF600" s="12"/>
      <c r="AY600" s="12"/>
      <c r="AZ600" s="12"/>
      <c r="BA600" s="12"/>
      <c r="BB600" s="12"/>
      <c r="BO600" s="12"/>
      <c r="BP600" s="12"/>
      <c r="BQ600" s="12"/>
      <c r="BR600" s="12"/>
    </row>
    <row r="601">
      <c r="AB601" s="12"/>
      <c r="AC601" s="12"/>
      <c r="AD601" s="12"/>
      <c r="AE601" s="12"/>
      <c r="AF601" s="12"/>
      <c r="AY601" s="12"/>
      <c r="AZ601" s="12"/>
      <c r="BA601" s="12"/>
      <c r="BB601" s="12"/>
      <c r="BO601" s="12"/>
      <c r="BP601" s="12"/>
      <c r="BQ601" s="12"/>
      <c r="BR601" s="12"/>
    </row>
    <row r="602">
      <c r="AB602" s="12"/>
      <c r="AC602" s="12"/>
      <c r="AD602" s="12"/>
      <c r="AE602" s="12"/>
      <c r="AF602" s="12"/>
      <c r="AY602" s="12"/>
      <c r="AZ602" s="12"/>
      <c r="BA602" s="12"/>
      <c r="BB602" s="12"/>
      <c r="BO602" s="12"/>
      <c r="BP602" s="12"/>
      <c r="BQ602" s="12"/>
      <c r="BR602" s="12"/>
    </row>
    <row r="603">
      <c r="AB603" s="12"/>
      <c r="AC603" s="12"/>
      <c r="AD603" s="12"/>
      <c r="AE603" s="12"/>
      <c r="AF603" s="12"/>
      <c r="AY603" s="12"/>
      <c r="AZ603" s="12"/>
      <c r="BA603" s="12"/>
      <c r="BB603" s="12"/>
      <c r="BO603" s="12"/>
      <c r="BP603" s="12"/>
      <c r="BQ603" s="12"/>
      <c r="BR603" s="12"/>
    </row>
    <row r="604">
      <c r="AB604" s="12"/>
      <c r="AC604" s="12"/>
      <c r="AD604" s="12"/>
      <c r="AE604" s="12"/>
      <c r="AF604" s="12"/>
      <c r="AY604" s="12"/>
      <c r="AZ604" s="12"/>
      <c r="BA604" s="12"/>
      <c r="BB604" s="12"/>
      <c r="BO604" s="12"/>
      <c r="BP604" s="12"/>
      <c r="BQ604" s="12"/>
      <c r="BR604" s="12"/>
    </row>
    <row r="605">
      <c r="AB605" s="12"/>
      <c r="AC605" s="12"/>
      <c r="AD605" s="12"/>
      <c r="AE605" s="12"/>
      <c r="AF605" s="12"/>
      <c r="AY605" s="12"/>
      <c r="AZ605" s="12"/>
      <c r="BA605" s="12"/>
      <c r="BB605" s="12"/>
      <c r="BO605" s="12"/>
      <c r="BP605" s="12"/>
      <c r="BQ605" s="12"/>
      <c r="BR605" s="12"/>
    </row>
    <row r="606">
      <c r="AB606" s="12"/>
      <c r="AC606" s="12"/>
      <c r="AD606" s="12"/>
      <c r="AE606" s="12"/>
      <c r="AF606" s="12"/>
      <c r="AY606" s="12"/>
      <c r="AZ606" s="12"/>
      <c r="BA606" s="12"/>
      <c r="BB606" s="12"/>
      <c r="BO606" s="12"/>
      <c r="BP606" s="12"/>
      <c r="BQ606" s="12"/>
      <c r="BR606" s="12"/>
    </row>
    <row r="607">
      <c r="AB607" s="12"/>
      <c r="AC607" s="12"/>
      <c r="AD607" s="12"/>
      <c r="AE607" s="12"/>
      <c r="AF607" s="12"/>
      <c r="AY607" s="12"/>
      <c r="AZ607" s="12"/>
      <c r="BA607" s="12"/>
      <c r="BB607" s="12"/>
      <c r="BO607" s="12"/>
      <c r="BP607" s="12"/>
      <c r="BQ607" s="12"/>
      <c r="BR607" s="12"/>
    </row>
    <row r="608">
      <c r="AB608" s="12"/>
      <c r="AC608" s="12"/>
      <c r="AD608" s="12"/>
      <c r="AE608" s="12"/>
      <c r="AF608" s="12"/>
      <c r="AY608" s="12"/>
      <c r="AZ608" s="12"/>
      <c r="BA608" s="12"/>
      <c r="BB608" s="12"/>
      <c r="BO608" s="12"/>
      <c r="BP608" s="12"/>
      <c r="BQ608" s="12"/>
      <c r="BR608" s="12"/>
    </row>
    <row r="609">
      <c r="AB609" s="12"/>
      <c r="AC609" s="12"/>
      <c r="AD609" s="12"/>
      <c r="AE609" s="12"/>
      <c r="AF609" s="12"/>
      <c r="AY609" s="12"/>
      <c r="AZ609" s="12"/>
      <c r="BA609" s="12"/>
      <c r="BB609" s="12"/>
      <c r="BO609" s="12"/>
      <c r="BP609" s="12"/>
      <c r="BQ609" s="12"/>
      <c r="BR609" s="12"/>
    </row>
    <row r="610">
      <c r="AB610" s="12"/>
      <c r="AC610" s="12"/>
      <c r="AD610" s="12"/>
      <c r="AE610" s="12"/>
      <c r="AF610" s="12"/>
      <c r="AY610" s="12"/>
      <c r="AZ610" s="12"/>
      <c r="BA610" s="12"/>
      <c r="BB610" s="12"/>
      <c r="BO610" s="12"/>
      <c r="BP610" s="12"/>
      <c r="BQ610" s="12"/>
      <c r="BR610" s="12"/>
    </row>
    <row r="611">
      <c r="AB611" s="12"/>
      <c r="AC611" s="12"/>
      <c r="AD611" s="12"/>
      <c r="AE611" s="12"/>
      <c r="AF611" s="12"/>
      <c r="AY611" s="12"/>
      <c r="AZ611" s="12"/>
      <c r="BA611" s="12"/>
      <c r="BB611" s="12"/>
      <c r="BO611" s="12"/>
      <c r="BP611" s="12"/>
      <c r="BQ611" s="12"/>
      <c r="BR611" s="12"/>
    </row>
    <row r="612">
      <c r="AB612" s="12"/>
      <c r="AC612" s="12"/>
      <c r="AD612" s="12"/>
      <c r="AE612" s="12"/>
      <c r="AF612" s="12"/>
      <c r="AY612" s="12"/>
      <c r="AZ612" s="12"/>
      <c r="BA612" s="12"/>
      <c r="BB612" s="12"/>
      <c r="BO612" s="12"/>
      <c r="BP612" s="12"/>
      <c r="BQ612" s="12"/>
      <c r="BR612" s="12"/>
    </row>
    <row r="613">
      <c r="AB613" s="12"/>
      <c r="AC613" s="12"/>
      <c r="AD613" s="12"/>
      <c r="AE613" s="12"/>
      <c r="AF613" s="12"/>
      <c r="AY613" s="12"/>
      <c r="AZ613" s="12"/>
      <c r="BA613" s="12"/>
      <c r="BB613" s="12"/>
      <c r="BO613" s="12"/>
      <c r="BP613" s="12"/>
      <c r="BQ613" s="12"/>
      <c r="BR613" s="12"/>
    </row>
    <row r="614">
      <c r="AB614" s="12"/>
      <c r="AC614" s="12"/>
      <c r="AD614" s="12"/>
      <c r="AE614" s="12"/>
      <c r="AF614" s="12"/>
      <c r="AY614" s="12"/>
      <c r="AZ614" s="12"/>
      <c r="BA614" s="12"/>
      <c r="BB614" s="12"/>
      <c r="BO614" s="12"/>
      <c r="BP614" s="12"/>
      <c r="BQ614" s="12"/>
      <c r="BR614" s="12"/>
    </row>
    <row r="615">
      <c r="AB615" s="12"/>
      <c r="AC615" s="12"/>
      <c r="AD615" s="12"/>
      <c r="AE615" s="12"/>
      <c r="AF615" s="12"/>
      <c r="AY615" s="12"/>
      <c r="AZ615" s="12"/>
      <c r="BA615" s="12"/>
      <c r="BB615" s="12"/>
      <c r="BO615" s="12"/>
      <c r="BP615" s="12"/>
      <c r="BQ615" s="12"/>
      <c r="BR615" s="12"/>
    </row>
    <row r="616">
      <c r="AB616" s="12"/>
      <c r="AC616" s="12"/>
      <c r="AD616" s="12"/>
      <c r="AE616" s="12"/>
      <c r="AF616" s="12"/>
      <c r="AY616" s="12"/>
      <c r="AZ616" s="12"/>
      <c r="BA616" s="12"/>
      <c r="BB616" s="12"/>
      <c r="BO616" s="12"/>
      <c r="BP616" s="12"/>
      <c r="BQ616" s="12"/>
      <c r="BR616" s="12"/>
    </row>
    <row r="617">
      <c r="AB617" s="12"/>
      <c r="AC617" s="12"/>
      <c r="AD617" s="12"/>
      <c r="AE617" s="12"/>
      <c r="AF617" s="12"/>
      <c r="AY617" s="12"/>
      <c r="AZ617" s="12"/>
      <c r="BA617" s="12"/>
      <c r="BB617" s="12"/>
      <c r="BO617" s="12"/>
      <c r="BP617" s="12"/>
      <c r="BQ617" s="12"/>
      <c r="BR617" s="12"/>
    </row>
    <row r="618">
      <c r="AB618" s="12"/>
      <c r="AC618" s="12"/>
      <c r="AD618" s="12"/>
      <c r="AE618" s="12"/>
      <c r="AF618" s="12"/>
      <c r="AY618" s="12"/>
      <c r="AZ618" s="12"/>
      <c r="BA618" s="12"/>
      <c r="BB618" s="12"/>
      <c r="BO618" s="12"/>
      <c r="BP618" s="12"/>
      <c r="BQ618" s="12"/>
      <c r="BR618" s="12"/>
    </row>
    <row r="619">
      <c r="AB619" s="12"/>
      <c r="AC619" s="12"/>
      <c r="AD619" s="12"/>
      <c r="AE619" s="12"/>
      <c r="AF619" s="12"/>
      <c r="AY619" s="12"/>
      <c r="AZ619" s="12"/>
      <c r="BA619" s="12"/>
      <c r="BB619" s="12"/>
      <c r="BO619" s="12"/>
      <c r="BP619" s="12"/>
      <c r="BQ619" s="12"/>
      <c r="BR619" s="12"/>
    </row>
    <row r="620">
      <c r="AB620" s="12"/>
      <c r="AC620" s="12"/>
      <c r="AD620" s="12"/>
      <c r="AE620" s="12"/>
      <c r="AF620" s="12"/>
      <c r="AY620" s="12"/>
      <c r="AZ620" s="12"/>
      <c r="BA620" s="12"/>
      <c r="BB620" s="12"/>
      <c r="BO620" s="12"/>
      <c r="BP620" s="12"/>
      <c r="BQ620" s="12"/>
      <c r="BR620" s="12"/>
    </row>
    <row r="621">
      <c r="AB621" s="12"/>
      <c r="AC621" s="12"/>
      <c r="AD621" s="12"/>
      <c r="AE621" s="12"/>
      <c r="AF621" s="12"/>
      <c r="AY621" s="12"/>
      <c r="AZ621" s="12"/>
      <c r="BA621" s="12"/>
      <c r="BB621" s="12"/>
      <c r="BO621" s="12"/>
      <c r="BP621" s="12"/>
      <c r="BQ621" s="12"/>
      <c r="BR621" s="12"/>
    </row>
    <row r="622">
      <c r="AB622" s="12"/>
      <c r="AC622" s="12"/>
      <c r="AD622" s="12"/>
      <c r="AE622" s="12"/>
      <c r="AF622" s="12"/>
      <c r="AY622" s="12"/>
      <c r="AZ622" s="12"/>
      <c r="BA622" s="12"/>
      <c r="BB622" s="12"/>
      <c r="BO622" s="12"/>
      <c r="BP622" s="12"/>
      <c r="BQ622" s="12"/>
      <c r="BR622" s="12"/>
    </row>
    <row r="623">
      <c r="AB623" s="12"/>
      <c r="AC623" s="12"/>
      <c r="AD623" s="12"/>
      <c r="AE623" s="12"/>
      <c r="AF623" s="12"/>
      <c r="AY623" s="12"/>
      <c r="AZ623" s="12"/>
      <c r="BA623" s="12"/>
      <c r="BB623" s="12"/>
      <c r="BO623" s="12"/>
      <c r="BP623" s="12"/>
      <c r="BQ623" s="12"/>
      <c r="BR623" s="12"/>
    </row>
    <row r="624">
      <c r="AB624" s="12"/>
      <c r="AC624" s="12"/>
      <c r="AD624" s="12"/>
      <c r="AE624" s="12"/>
      <c r="AF624" s="12"/>
      <c r="AY624" s="12"/>
      <c r="AZ624" s="12"/>
      <c r="BA624" s="12"/>
      <c r="BB624" s="12"/>
      <c r="BO624" s="12"/>
      <c r="BP624" s="12"/>
      <c r="BQ624" s="12"/>
      <c r="BR624" s="12"/>
    </row>
    <row r="625">
      <c r="AB625" s="12"/>
      <c r="AC625" s="12"/>
      <c r="AD625" s="12"/>
      <c r="AE625" s="12"/>
      <c r="AF625" s="12"/>
      <c r="AY625" s="12"/>
      <c r="AZ625" s="12"/>
      <c r="BA625" s="12"/>
      <c r="BB625" s="12"/>
      <c r="BO625" s="12"/>
      <c r="BP625" s="12"/>
      <c r="BQ625" s="12"/>
      <c r="BR625" s="12"/>
    </row>
    <row r="626">
      <c r="AB626" s="12"/>
      <c r="AC626" s="12"/>
      <c r="AD626" s="12"/>
      <c r="AE626" s="12"/>
      <c r="AF626" s="12"/>
      <c r="AY626" s="12"/>
      <c r="AZ626" s="12"/>
      <c r="BA626" s="12"/>
      <c r="BB626" s="12"/>
      <c r="BO626" s="12"/>
      <c r="BP626" s="12"/>
      <c r="BQ626" s="12"/>
      <c r="BR626" s="12"/>
    </row>
    <row r="627">
      <c r="AB627" s="12"/>
      <c r="AC627" s="12"/>
      <c r="AD627" s="12"/>
      <c r="AE627" s="12"/>
      <c r="AF627" s="12"/>
      <c r="AY627" s="12"/>
      <c r="AZ627" s="12"/>
      <c r="BA627" s="12"/>
      <c r="BB627" s="12"/>
      <c r="BO627" s="12"/>
      <c r="BP627" s="12"/>
      <c r="BQ627" s="12"/>
      <c r="BR627" s="12"/>
    </row>
    <row r="628">
      <c r="AB628" s="12"/>
      <c r="AC628" s="12"/>
      <c r="AD628" s="12"/>
      <c r="AE628" s="12"/>
      <c r="AF628" s="12"/>
      <c r="AY628" s="12"/>
      <c r="AZ628" s="12"/>
      <c r="BA628" s="12"/>
      <c r="BB628" s="12"/>
      <c r="BO628" s="12"/>
      <c r="BP628" s="12"/>
      <c r="BQ628" s="12"/>
      <c r="BR628" s="12"/>
    </row>
    <row r="629">
      <c r="AB629" s="12"/>
      <c r="AC629" s="12"/>
      <c r="AD629" s="12"/>
      <c r="AE629" s="12"/>
      <c r="AF629" s="12"/>
      <c r="AY629" s="12"/>
      <c r="AZ629" s="12"/>
      <c r="BA629" s="12"/>
      <c r="BB629" s="12"/>
      <c r="BO629" s="12"/>
      <c r="BP629" s="12"/>
      <c r="BQ629" s="12"/>
      <c r="BR629" s="12"/>
    </row>
    <row r="630">
      <c r="AB630" s="12"/>
      <c r="AC630" s="12"/>
      <c r="AD630" s="12"/>
      <c r="AE630" s="12"/>
      <c r="AF630" s="12"/>
      <c r="AY630" s="12"/>
      <c r="AZ630" s="12"/>
      <c r="BA630" s="12"/>
      <c r="BB630" s="12"/>
      <c r="BO630" s="12"/>
      <c r="BP630" s="12"/>
      <c r="BQ630" s="12"/>
      <c r="BR630" s="12"/>
    </row>
    <row r="631">
      <c r="AB631" s="12"/>
      <c r="AC631" s="12"/>
      <c r="AD631" s="12"/>
      <c r="AE631" s="12"/>
      <c r="AF631" s="12"/>
      <c r="AY631" s="12"/>
      <c r="AZ631" s="12"/>
      <c r="BA631" s="12"/>
      <c r="BB631" s="12"/>
      <c r="BO631" s="12"/>
      <c r="BP631" s="12"/>
      <c r="BQ631" s="12"/>
      <c r="BR631" s="12"/>
    </row>
    <row r="632">
      <c r="AB632" s="12"/>
      <c r="AC632" s="12"/>
      <c r="AD632" s="12"/>
      <c r="AE632" s="12"/>
      <c r="AF632" s="12"/>
      <c r="AY632" s="12"/>
      <c r="AZ632" s="12"/>
      <c r="BA632" s="12"/>
      <c r="BB632" s="12"/>
      <c r="BO632" s="12"/>
      <c r="BP632" s="12"/>
      <c r="BQ632" s="12"/>
      <c r="BR632" s="12"/>
    </row>
    <row r="633">
      <c r="AB633" s="12"/>
      <c r="AC633" s="12"/>
      <c r="AD633" s="12"/>
      <c r="AE633" s="12"/>
      <c r="AF633" s="12"/>
      <c r="AY633" s="12"/>
      <c r="AZ633" s="12"/>
      <c r="BA633" s="12"/>
      <c r="BB633" s="12"/>
      <c r="BO633" s="12"/>
      <c r="BP633" s="12"/>
      <c r="BQ633" s="12"/>
      <c r="BR633" s="12"/>
    </row>
    <row r="634">
      <c r="AB634" s="12"/>
      <c r="AC634" s="12"/>
      <c r="AD634" s="12"/>
      <c r="AE634" s="12"/>
      <c r="AF634" s="12"/>
      <c r="AY634" s="12"/>
      <c r="AZ634" s="12"/>
      <c r="BA634" s="12"/>
      <c r="BB634" s="12"/>
      <c r="BO634" s="12"/>
      <c r="BP634" s="12"/>
      <c r="BQ634" s="12"/>
      <c r="BR634" s="12"/>
    </row>
    <row r="635">
      <c r="AB635" s="12"/>
      <c r="AC635" s="12"/>
      <c r="AD635" s="12"/>
      <c r="AE635" s="12"/>
      <c r="AF635" s="12"/>
      <c r="AY635" s="12"/>
      <c r="AZ635" s="12"/>
      <c r="BA635" s="12"/>
      <c r="BB635" s="12"/>
      <c r="BO635" s="12"/>
      <c r="BP635" s="12"/>
      <c r="BQ635" s="12"/>
      <c r="BR635" s="12"/>
    </row>
    <row r="636">
      <c r="AB636" s="12"/>
      <c r="AC636" s="12"/>
      <c r="AD636" s="12"/>
      <c r="AE636" s="12"/>
      <c r="AF636" s="12"/>
      <c r="AY636" s="12"/>
      <c r="AZ636" s="12"/>
      <c r="BA636" s="12"/>
      <c r="BB636" s="12"/>
      <c r="BO636" s="12"/>
      <c r="BP636" s="12"/>
      <c r="BQ636" s="12"/>
      <c r="BR636" s="12"/>
    </row>
    <row r="637">
      <c r="AB637" s="12"/>
      <c r="AC637" s="12"/>
      <c r="AD637" s="12"/>
      <c r="AE637" s="12"/>
      <c r="AF637" s="12"/>
      <c r="AY637" s="12"/>
      <c r="AZ637" s="12"/>
      <c r="BA637" s="12"/>
      <c r="BB637" s="12"/>
      <c r="BO637" s="12"/>
      <c r="BP637" s="12"/>
      <c r="BQ637" s="12"/>
      <c r="BR637" s="12"/>
    </row>
    <row r="638">
      <c r="AB638" s="12"/>
      <c r="AC638" s="12"/>
      <c r="AD638" s="12"/>
      <c r="AE638" s="12"/>
      <c r="AF638" s="12"/>
      <c r="AY638" s="12"/>
      <c r="AZ638" s="12"/>
      <c r="BA638" s="12"/>
      <c r="BB638" s="12"/>
      <c r="BO638" s="12"/>
      <c r="BP638" s="12"/>
      <c r="BQ638" s="12"/>
      <c r="BR638" s="12"/>
    </row>
    <row r="639">
      <c r="AB639" s="12"/>
      <c r="AC639" s="12"/>
      <c r="AD639" s="12"/>
      <c r="AE639" s="12"/>
      <c r="AF639" s="12"/>
      <c r="AY639" s="12"/>
      <c r="AZ639" s="12"/>
      <c r="BA639" s="12"/>
      <c r="BB639" s="12"/>
      <c r="BO639" s="12"/>
      <c r="BP639" s="12"/>
      <c r="BQ639" s="12"/>
      <c r="BR639" s="12"/>
    </row>
    <row r="640">
      <c r="AB640" s="12"/>
      <c r="AC640" s="12"/>
      <c r="AD640" s="12"/>
      <c r="AE640" s="12"/>
      <c r="AF640" s="12"/>
      <c r="AY640" s="12"/>
      <c r="AZ640" s="12"/>
      <c r="BA640" s="12"/>
      <c r="BB640" s="12"/>
      <c r="BO640" s="12"/>
      <c r="BP640" s="12"/>
      <c r="BQ640" s="12"/>
      <c r="BR640" s="12"/>
    </row>
    <row r="641">
      <c r="AB641" s="12"/>
      <c r="AC641" s="12"/>
      <c r="AD641" s="12"/>
      <c r="AE641" s="12"/>
      <c r="AF641" s="12"/>
      <c r="AY641" s="12"/>
      <c r="AZ641" s="12"/>
      <c r="BA641" s="12"/>
      <c r="BB641" s="12"/>
      <c r="BO641" s="12"/>
      <c r="BP641" s="12"/>
      <c r="BQ641" s="12"/>
      <c r="BR641" s="12"/>
    </row>
    <row r="642">
      <c r="AB642" s="12"/>
      <c r="AC642" s="12"/>
      <c r="AD642" s="12"/>
      <c r="AE642" s="12"/>
      <c r="AF642" s="12"/>
      <c r="AY642" s="12"/>
      <c r="AZ642" s="12"/>
      <c r="BA642" s="12"/>
      <c r="BB642" s="12"/>
      <c r="BO642" s="12"/>
      <c r="BP642" s="12"/>
      <c r="BQ642" s="12"/>
      <c r="BR642" s="12"/>
    </row>
    <row r="643">
      <c r="AB643" s="12"/>
      <c r="AC643" s="12"/>
      <c r="AD643" s="12"/>
      <c r="AE643" s="12"/>
      <c r="AF643" s="12"/>
      <c r="AY643" s="12"/>
      <c r="AZ643" s="12"/>
      <c r="BA643" s="12"/>
      <c r="BB643" s="12"/>
      <c r="BO643" s="12"/>
      <c r="BP643" s="12"/>
      <c r="BQ643" s="12"/>
      <c r="BR643" s="12"/>
    </row>
    <row r="644">
      <c r="AB644" s="12"/>
      <c r="AC644" s="12"/>
      <c r="AD644" s="12"/>
      <c r="AE644" s="12"/>
      <c r="AF644" s="12"/>
      <c r="AY644" s="12"/>
      <c r="AZ644" s="12"/>
      <c r="BA644" s="12"/>
      <c r="BB644" s="12"/>
      <c r="BO644" s="12"/>
      <c r="BP644" s="12"/>
      <c r="BQ644" s="12"/>
      <c r="BR644" s="12"/>
    </row>
    <row r="645">
      <c r="AB645" s="12"/>
      <c r="AC645" s="12"/>
      <c r="AD645" s="12"/>
      <c r="AE645" s="12"/>
      <c r="AF645" s="12"/>
      <c r="AY645" s="12"/>
      <c r="AZ645" s="12"/>
      <c r="BA645" s="12"/>
      <c r="BB645" s="12"/>
      <c r="BO645" s="12"/>
      <c r="BP645" s="12"/>
      <c r="BQ645" s="12"/>
      <c r="BR645" s="12"/>
    </row>
    <row r="646">
      <c r="AB646" s="12"/>
      <c r="AC646" s="12"/>
      <c r="AD646" s="12"/>
      <c r="AE646" s="12"/>
      <c r="AF646" s="12"/>
      <c r="AY646" s="12"/>
      <c r="AZ646" s="12"/>
      <c r="BA646" s="12"/>
      <c r="BB646" s="12"/>
      <c r="BO646" s="12"/>
      <c r="BP646" s="12"/>
      <c r="BQ646" s="12"/>
      <c r="BR646" s="12"/>
    </row>
    <row r="647">
      <c r="AB647" s="12"/>
      <c r="AC647" s="12"/>
      <c r="AD647" s="12"/>
      <c r="AE647" s="12"/>
      <c r="AF647" s="12"/>
      <c r="AY647" s="12"/>
      <c r="AZ647" s="12"/>
      <c r="BA647" s="12"/>
      <c r="BB647" s="12"/>
      <c r="BO647" s="12"/>
      <c r="BP647" s="12"/>
      <c r="BQ647" s="12"/>
      <c r="BR647" s="12"/>
    </row>
    <row r="648">
      <c r="AB648" s="12"/>
      <c r="AC648" s="12"/>
      <c r="AD648" s="12"/>
      <c r="AE648" s="12"/>
      <c r="AF648" s="12"/>
      <c r="AY648" s="12"/>
      <c r="AZ648" s="12"/>
      <c r="BA648" s="12"/>
      <c r="BB648" s="12"/>
      <c r="BO648" s="12"/>
      <c r="BP648" s="12"/>
      <c r="BQ648" s="12"/>
      <c r="BR648" s="12"/>
    </row>
    <row r="649">
      <c r="AB649" s="12"/>
      <c r="AC649" s="12"/>
      <c r="AD649" s="12"/>
      <c r="AE649" s="12"/>
      <c r="AF649" s="12"/>
      <c r="AY649" s="12"/>
      <c r="AZ649" s="12"/>
      <c r="BA649" s="12"/>
      <c r="BB649" s="12"/>
      <c r="BO649" s="12"/>
      <c r="BP649" s="12"/>
      <c r="BQ649" s="12"/>
      <c r="BR649" s="12"/>
    </row>
    <row r="650">
      <c r="AB650" s="12"/>
      <c r="AC650" s="12"/>
      <c r="AD650" s="12"/>
      <c r="AE650" s="12"/>
      <c r="AF650" s="12"/>
      <c r="AY650" s="12"/>
      <c r="AZ650" s="12"/>
      <c r="BA650" s="12"/>
      <c r="BB650" s="12"/>
      <c r="BO650" s="12"/>
      <c r="BP650" s="12"/>
      <c r="BQ650" s="12"/>
      <c r="BR650" s="12"/>
    </row>
    <row r="651">
      <c r="AB651" s="12"/>
      <c r="AC651" s="12"/>
      <c r="AD651" s="12"/>
      <c r="AE651" s="12"/>
      <c r="AF651" s="12"/>
      <c r="AY651" s="12"/>
      <c r="AZ651" s="12"/>
      <c r="BA651" s="12"/>
      <c r="BB651" s="12"/>
      <c r="BO651" s="12"/>
      <c r="BP651" s="12"/>
      <c r="BQ651" s="12"/>
      <c r="BR651" s="12"/>
    </row>
    <row r="652">
      <c r="AB652" s="12"/>
      <c r="AC652" s="12"/>
      <c r="AD652" s="12"/>
      <c r="AE652" s="12"/>
      <c r="AF652" s="12"/>
      <c r="AY652" s="12"/>
      <c r="AZ652" s="12"/>
      <c r="BA652" s="12"/>
      <c r="BB652" s="12"/>
      <c r="BO652" s="12"/>
      <c r="BP652" s="12"/>
      <c r="BQ652" s="12"/>
      <c r="BR652" s="12"/>
    </row>
    <row r="653">
      <c r="AB653" s="12"/>
      <c r="AC653" s="12"/>
      <c r="AD653" s="12"/>
      <c r="AE653" s="12"/>
      <c r="AF653" s="12"/>
      <c r="AY653" s="12"/>
      <c r="AZ653" s="12"/>
      <c r="BA653" s="12"/>
      <c r="BB653" s="12"/>
      <c r="BO653" s="12"/>
      <c r="BP653" s="12"/>
      <c r="BQ653" s="12"/>
      <c r="BR653" s="12"/>
    </row>
    <row r="654">
      <c r="AB654" s="12"/>
      <c r="AC654" s="12"/>
      <c r="AD654" s="12"/>
      <c r="AE654" s="12"/>
      <c r="AF654" s="12"/>
      <c r="AY654" s="12"/>
      <c r="AZ654" s="12"/>
      <c r="BA654" s="12"/>
      <c r="BB654" s="12"/>
      <c r="BO654" s="12"/>
      <c r="BP654" s="12"/>
      <c r="BQ654" s="12"/>
      <c r="BR654" s="12"/>
    </row>
    <row r="655">
      <c r="AB655" s="12"/>
      <c r="AC655" s="12"/>
      <c r="AD655" s="12"/>
      <c r="AE655" s="12"/>
      <c r="AF655" s="12"/>
      <c r="AY655" s="12"/>
      <c r="AZ655" s="12"/>
      <c r="BA655" s="12"/>
      <c r="BB655" s="12"/>
      <c r="BO655" s="12"/>
      <c r="BP655" s="12"/>
      <c r="BQ655" s="12"/>
      <c r="BR655" s="12"/>
    </row>
    <row r="656">
      <c r="AB656" s="12"/>
      <c r="AC656" s="12"/>
      <c r="AD656" s="12"/>
      <c r="AE656" s="12"/>
      <c r="AF656" s="12"/>
      <c r="AY656" s="12"/>
      <c r="AZ656" s="12"/>
      <c r="BA656" s="12"/>
      <c r="BB656" s="12"/>
      <c r="BO656" s="12"/>
      <c r="BP656" s="12"/>
      <c r="BQ656" s="12"/>
      <c r="BR656" s="12"/>
    </row>
    <row r="657">
      <c r="AB657" s="12"/>
      <c r="AC657" s="12"/>
      <c r="AD657" s="12"/>
      <c r="AE657" s="12"/>
      <c r="AF657" s="12"/>
      <c r="AY657" s="12"/>
      <c r="AZ657" s="12"/>
      <c r="BA657" s="12"/>
      <c r="BB657" s="12"/>
      <c r="BO657" s="12"/>
      <c r="BP657" s="12"/>
      <c r="BQ657" s="12"/>
      <c r="BR657" s="12"/>
    </row>
    <row r="658">
      <c r="AB658" s="12"/>
      <c r="AC658" s="12"/>
      <c r="AD658" s="12"/>
      <c r="AE658" s="12"/>
      <c r="AF658" s="12"/>
      <c r="AY658" s="12"/>
      <c r="AZ658" s="12"/>
      <c r="BA658" s="12"/>
      <c r="BB658" s="12"/>
      <c r="BO658" s="12"/>
      <c r="BP658" s="12"/>
      <c r="BQ658" s="12"/>
      <c r="BR658" s="12"/>
    </row>
    <row r="659">
      <c r="AB659" s="12"/>
      <c r="AC659" s="12"/>
      <c r="AD659" s="12"/>
      <c r="AE659" s="12"/>
      <c r="AF659" s="12"/>
      <c r="AY659" s="12"/>
      <c r="AZ659" s="12"/>
      <c r="BA659" s="12"/>
      <c r="BB659" s="12"/>
      <c r="BO659" s="12"/>
      <c r="BP659" s="12"/>
      <c r="BQ659" s="12"/>
      <c r="BR659" s="12"/>
    </row>
    <row r="660">
      <c r="AB660" s="12"/>
      <c r="AC660" s="12"/>
      <c r="AD660" s="12"/>
      <c r="AE660" s="12"/>
      <c r="AF660" s="12"/>
      <c r="AY660" s="12"/>
      <c r="AZ660" s="12"/>
      <c r="BA660" s="12"/>
      <c r="BB660" s="12"/>
      <c r="BO660" s="12"/>
      <c r="BP660" s="12"/>
      <c r="BQ660" s="12"/>
      <c r="BR660" s="12"/>
    </row>
    <row r="661">
      <c r="AB661" s="12"/>
      <c r="AC661" s="12"/>
      <c r="AD661" s="12"/>
      <c r="AE661" s="12"/>
      <c r="AF661" s="12"/>
      <c r="AY661" s="12"/>
      <c r="AZ661" s="12"/>
      <c r="BA661" s="12"/>
      <c r="BB661" s="12"/>
      <c r="BO661" s="12"/>
      <c r="BP661" s="12"/>
      <c r="BQ661" s="12"/>
      <c r="BR661" s="12"/>
    </row>
    <row r="662">
      <c r="AB662" s="12"/>
      <c r="AC662" s="12"/>
      <c r="AD662" s="12"/>
      <c r="AE662" s="12"/>
      <c r="AF662" s="12"/>
      <c r="AY662" s="12"/>
      <c r="AZ662" s="12"/>
      <c r="BA662" s="12"/>
      <c r="BB662" s="12"/>
      <c r="BO662" s="12"/>
      <c r="BP662" s="12"/>
      <c r="BQ662" s="12"/>
      <c r="BR662" s="12"/>
    </row>
    <row r="663">
      <c r="AB663" s="12"/>
      <c r="AC663" s="12"/>
      <c r="AD663" s="12"/>
      <c r="AE663" s="12"/>
      <c r="AF663" s="12"/>
      <c r="AY663" s="12"/>
      <c r="AZ663" s="12"/>
      <c r="BA663" s="12"/>
      <c r="BB663" s="12"/>
      <c r="BO663" s="12"/>
      <c r="BP663" s="12"/>
      <c r="BQ663" s="12"/>
      <c r="BR663" s="12"/>
    </row>
    <row r="664">
      <c r="AB664" s="12"/>
      <c r="AC664" s="12"/>
      <c r="AD664" s="12"/>
      <c r="AE664" s="12"/>
      <c r="AF664" s="12"/>
      <c r="AY664" s="12"/>
      <c r="AZ664" s="12"/>
      <c r="BA664" s="12"/>
      <c r="BB664" s="12"/>
      <c r="BO664" s="12"/>
      <c r="BP664" s="12"/>
      <c r="BQ664" s="12"/>
      <c r="BR664" s="12"/>
    </row>
    <row r="665">
      <c r="AB665" s="12"/>
      <c r="AC665" s="12"/>
      <c r="AD665" s="12"/>
      <c r="AE665" s="12"/>
      <c r="AF665" s="12"/>
      <c r="AY665" s="12"/>
      <c r="AZ665" s="12"/>
      <c r="BA665" s="12"/>
      <c r="BB665" s="12"/>
      <c r="BO665" s="12"/>
      <c r="BP665" s="12"/>
      <c r="BQ665" s="12"/>
      <c r="BR665" s="12"/>
    </row>
    <row r="666">
      <c r="AB666" s="12"/>
      <c r="AC666" s="12"/>
      <c r="AD666" s="12"/>
      <c r="AE666" s="12"/>
      <c r="AF666" s="12"/>
      <c r="AY666" s="12"/>
      <c r="AZ666" s="12"/>
      <c r="BA666" s="12"/>
      <c r="BB666" s="12"/>
      <c r="BO666" s="12"/>
      <c r="BP666" s="12"/>
      <c r="BQ666" s="12"/>
      <c r="BR666" s="12"/>
    </row>
    <row r="667">
      <c r="AB667" s="12"/>
      <c r="AC667" s="12"/>
      <c r="AD667" s="12"/>
      <c r="AE667" s="12"/>
      <c r="AF667" s="12"/>
      <c r="AY667" s="12"/>
      <c r="AZ667" s="12"/>
      <c r="BA667" s="12"/>
      <c r="BB667" s="12"/>
      <c r="BO667" s="12"/>
      <c r="BP667" s="12"/>
      <c r="BQ667" s="12"/>
      <c r="BR667" s="12"/>
    </row>
    <row r="668">
      <c r="AB668" s="12"/>
      <c r="AC668" s="12"/>
      <c r="AD668" s="12"/>
      <c r="AE668" s="12"/>
      <c r="AF668" s="12"/>
      <c r="AY668" s="12"/>
      <c r="AZ668" s="12"/>
      <c r="BA668" s="12"/>
      <c r="BB668" s="12"/>
      <c r="BO668" s="12"/>
      <c r="BP668" s="12"/>
      <c r="BQ668" s="12"/>
      <c r="BR668" s="12"/>
    </row>
    <row r="669">
      <c r="AB669" s="12"/>
      <c r="AC669" s="12"/>
      <c r="AD669" s="12"/>
      <c r="AE669" s="12"/>
      <c r="AF669" s="12"/>
      <c r="AY669" s="12"/>
      <c r="AZ669" s="12"/>
      <c r="BA669" s="12"/>
      <c r="BB669" s="12"/>
      <c r="BO669" s="12"/>
      <c r="BP669" s="12"/>
      <c r="BQ669" s="12"/>
      <c r="BR669" s="12"/>
    </row>
    <row r="670">
      <c r="AB670" s="12"/>
      <c r="AC670" s="12"/>
      <c r="AD670" s="12"/>
      <c r="AE670" s="12"/>
      <c r="AF670" s="12"/>
      <c r="AY670" s="12"/>
      <c r="AZ670" s="12"/>
      <c r="BA670" s="12"/>
      <c r="BB670" s="12"/>
      <c r="BO670" s="12"/>
      <c r="BP670" s="12"/>
      <c r="BQ670" s="12"/>
      <c r="BR670" s="12"/>
    </row>
    <row r="671">
      <c r="AB671" s="12"/>
      <c r="AC671" s="12"/>
      <c r="AD671" s="12"/>
      <c r="AE671" s="12"/>
      <c r="AF671" s="12"/>
      <c r="AY671" s="12"/>
      <c r="AZ671" s="12"/>
      <c r="BA671" s="12"/>
      <c r="BB671" s="12"/>
      <c r="BO671" s="12"/>
      <c r="BP671" s="12"/>
      <c r="BQ671" s="12"/>
      <c r="BR671" s="12"/>
    </row>
    <row r="672">
      <c r="AB672" s="12"/>
      <c r="AC672" s="12"/>
      <c r="AD672" s="12"/>
      <c r="AE672" s="12"/>
      <c r="AF672" s="12"/>
      <c r="AY672" s="12"/>
      <c r="AZ672" s="12"/>
      <c r="BA672" s="12"/>
      <c r="BB672" s="12"/>
      <c r="BO672" s="12"/>
      <c r="BP672" s="12"/>
      <c r="BQ672" s="12"/>
      <c r="BR672" s="12"/>
    </row>
    <row r="673">
      <c r="AB673" s="12"/>
      <c r="AC673" s="12"/>
      <c r="AD673" s="12"/>
      <c r="AE673" s="12"/>
      <c r="AF673" s="12"/>
      <c r="AY673" s="12"/>
      <c r="AZ673" s="12"/>
      <c r="BA673" s="12"/>
      <c r="BB673" s="12"/>
      <c r="BO673" s="12"/>
      <c r="BP673" s="12"/>
      <c r="BQ673" s="12"/>
      <c r="BR673" s="12"/>
    </row>
    <row r="674">
      <c r="AB674" s="12"/>
      <c r="AC674" s="12"/>
      <c r="AD674" s="12"/>
      <c r="AE674" s="12"/>
      <c r="AF674" s="12"/>
      <c r="AY674" s="12"/>
      <c r="AZ674" s="12"/>
      <c r="BA674" s="12"/>
      <c r="BB674" s="12"/>
      <c r="BO674" s="12"/>
      <c r="BP674" s="12"/>
      <c r="BQ674" s="12"/>
      <c r="BR674" s="12"/>
    </row>
    <row r="675">
      <c r="AB675" s="12"/>
      <c r="AC675" s="12"/>
      <c r="AD675" s="12"/>
      <c r="AE675" s="12"/>
      <c r="AF675" s="12"/>
      <c r="AY675" s="12"/>
      <c r="AZ675" s="12"/>
      <c r="BA675" s="12"/>
      <c r="BB675" s="12"/>
      <c r="BO675" s="12"/>
      <c r="BP675" s="12"/>
      <c r="BQ675" s="12"/>
      <c r="BR675" s="12"/>
    </row>
    <row r="676">
      <c r="AB676" s="12"/>
      <c r="AC676" s="12"/>
      <c r="AD676" s="12"/>
      <c r="AE676" s="12"/>
      <c r="AF676" s="12"/>
      <c r="AY676" s="12"/>
      <c r="AZ676" s="12"/>
      <c r="BA676" s="12"/>
      <c r="BB676" s="12"/>
      <c r="BO676" s="12"/>
      <c r="BP676" s="12"/>
      <c r="BQ676" s="12"/>
      <c r="BR676" s="12"/>
    </row>
    <row r="677">
      <c r="AB677" s="12"/>
      <c r="AC677" s="12"/>
      <c r="AD677" s="12"/>
      <c r="AE677" s="12"/>
      <c r="AF677" s="12"/>
      <c r="AY677" s="12"/>
      <c r="AZ677" s="12"/>
      <c r="BA677" s="12"/>
      <c r="BB677" s="12"/>
      <c r="BO677" s="12"/>
      <c r="BP677" s="12"/>
      <c r="BQ677" s="12"/>
      <c r="BR677" s="12"/>
    </row>
    <row r="678">
      <c r="AB678" s="12"/>
      <c r="AC678" s="12"/>
      <c r="AD678" s="12"/>
      <c r="AE678" s="12"/>
      <c r="AF678" s="12"/>
      <c r="AY678" s="12"/>
      <c r="AZ678" s="12"/>
      <c r="BA678" s="12"/>
      <c r="BB678" s="12"/>
      <c r="BO678" s="12"/>
      <c r="BP678" s="12"/>
      <c r="BQ678" s="12"/>
      <c r="BR678" s="12"/>
    </row>
    <row r="679">
      <c r="AB679" s="12"/>
      <c r="AC679" s="12"/>
      <c r="AD679" s="12"/>
      <c r="AE679" s="12"/>
      <c r="AF679" s="12"/>
      <c r="AY679" s="12"/>
      <c r="AZ679" s="12"/>
      <c r="BA679" s="12"/>
      <c r="BB679" s="12"/>
      <c r="BO679" s="12"/>
      <c r="BP679" s="12"/>
      <c r="BQ679" s="12"/>
      <c r="BR679" s="12"/>
    </row>
    <row r="680">
      <c r="AB680" s="12"/>
      <c r="AC680" s="12"/>
      <c r="AD680" s="12"/>
      <c r="AE680" s="12"/>
      <c r="AF680" s="12"/>
      <c r="AY680" s="12"/>
      <c r="AZ680" s="12"/>
      <c r="BA680" s="12"/>
      <c r="BB680" s="12"/>
      <c r="BO680" s="12"/>
      <c r="BP680" s="12"/>
      <c r="BQ680" s="12"/>
      <c r="BR680" s="12"/>
    </row>
    <row r="681">
      <c r="AB681" s="12"/>
      <c r="AC681" s="12"/>
      <c r="AD681" s="12"/>
      <c r="AE681" s="12"/>
      <c r="AF681" s="12"/>
      <c r="AY681" s="12"/>
      <c r="AZ681" s="12"/>
      <c r="BA681" s="12"/>
      <c r="BB681" s="12"/>
      <c r="BO681" s="12"/>
      <c r="BP681" s="12"/>
      <c r="BQ681" s="12"/>
      <c r="BR681" s="12"/>
    </row>
    <row r="682">
      <c r="AB682" s="12"/>
      <c r="AC682" s="12"/>
      <c r="AD682" s="12"/>
      <c r="AE682" s="12"/>
      <c r="AF682" s="12"/>
      <c r="AY682" s="12"/>
      <c r="AZ682" s="12"/>
      <c r="BA682" s="12"/>
      <c r="BB682" s="12"/>
      <c r="BO682" s="12"/>
      <c r="BP682" s="12"/>
      <c r="BQ682" s="12"/>
      <c r="BR682" s="12"/>
    </row>
    <row r="683">
      <c r="AB683" s="12"/>
      <c r="AC683" s="12"/>
      <c r="AD683" s="12"/>
      <c r="AE683" s="12"/>
      <c r="AF683" s="12"/>
      <c r="AY683" s="12"/>
      <c r="AZ683" s="12"/>
      <c r="BA683" s="12"/>
      <c r="BB683" s="12"/>
      <c r="BO683" s="12"/>
      <c r="BP683" s="12"/>
      <c r="BQ683" s="12"/>
      <c r="BR683" s="12"/>
    </row>
    <row r="684">
      <c r="AB684" s="12"/>
      <c r="AC684" s="12"/>
      <c r="AD684" s="12"/>
      <c r="AE684" s="12"/>
      <c r="AF684" s="12"/>
      <c r="AY684" s="12"/>
      <c r="AZ684" s="12"/>
      <c r="BA684" s="12"/>
      <c r="BB684" s="12"/>
      <c r="BO684" s="12"/>
      <c r="BP684" s="12"/>
      <c r="BQ684" s="12"/>
      <c r="BR684" s="12"/>
    </row>
    <row r="685">
      <c r="AB685" s="12"/>
      <c r="AC685" s="12"/>
      <c r="AD685" s="12"/>
      <c r="AE685" s="12"/>
      <c r="AF685" s="12"/>
      <c r="AY685" s="12"/>
      <c r="AZ685" s="12"/>
      <c r="BA685" s="12"/>
      <c r="BB685" s="12"/>
      <c r="BO685" s="12"/>
      <c r="BP685" s="12"/>
      <c r="BQ685" s="12"/>
      <c r="BR685" s="12"/>
    </row>
    <row r="686">
      <c r="AB686" s="12"/>
      <c r="AC686" s="12"/>
      <c r="AD686" s="12"/>
      <c r="AE686" s="12"/>
      <c r="AF686" s="12"/>
      <c r="AY686" s="12"/>
      <c r="AZ686" s="12"/>
      <c r="BA686" s="12"/>
      <c r="BB686" s="12"/>
      <c r="BO686" s="12"/>
      <c r="BP686" s="12"/>
      <c r="BQ686" s="12"/>
      <c r="BR686" s="12"/>
    </row>
    <row r="687">
      <c r="AB687" s="12"/>
      <c r="AC687" s="12"/>
      <c r="AD687" s="12"/>
      <c r="AE687" s="12"/>
      <c r="AF687" s="12"/>
      <c r="AY687" s="12"/>
      <c r="AZ687" s="12"/>
      <c r="BA687" s="12"/>
      <c r="BB687" s="12"/>
      <c r="BO687" s="12"/>
      <c r="BP687" s="12"/>
      <c r="BQ687" s="12"/>
      <c r="BR687" s="12"/>
    </row>
    <row r="688">
      <c r="AB688" s="12"/>
      <c r="AC688" s="12"/>
      <c r="AD688" s="12"/>
      <c r="AE688" s="12"/>
      <c r="AF688" s="12"/>
      <c r="AY688" s="12"/>
      <c r="AZ688" s="12"/>
      <c r="BA688" s="12"/>
      <c r="BB688" s="12"/>
      <c r="BO688" s="12"/>
      <c r="BP688" s="12"/>
      <c r="BQ688" s="12"/>
      <c r="BR688" s="12"/>
    </row>
    <row r="689">
      <c r="AB689" s="12"/>
      <c r="AC689" s="12"/>
      <c r="AD689" s="12"/>
      <c r="AE689" s="12"/>
      <c r="AF689" s="12"/>
      <c r="AY689" s="12"/>
      <c r="AZ689" s="12"/>
      <c r="BA689" s="12"/>
      <c r="BB689" s="12"/>
      <c r="BO689" s="12"/>
      <c r="BP689" s="12"/>
      <c r="BQ689" s="12"/>
      <c r="BR689" s="12"/>
    </row>
    <row r="690">
      <c r="AB690" s="12"/>
      <c r="AC690" s="12"/>
      <c r="AD690" s="12"/>
      <c r="AE690" s="12"/>
      <c r="AF690" s="12"/>
      <c r="AY690" s="12"/>
      <c r="AZ690" s="12"/>
      <c r="BA690" s="12"/>
      <c r="BB690" s="12"/>
      <c r="BO690" s="12"/>
      <c r="BP690" s="12"/>
      <c r="BQ690" s="12"/>
      <c r="BR690" s="12"/>
    </row>
    <row r="691">
      <c r="AB691" s="12"/>
      <c r="AC691" s="12"/>
      <c r="AD691" s="12"/>
      <c r="AE691" s="12"/>
      <c r="AF691" s="12"/>
      <c r="AY691" s="12"/>
      <c r="AZ691" s="12"/>
      <c r="BA691" s="12"/>
      <c r="BB691" s="12"/>
      <c r="BO691" s="12"/>
      <c r="BP691" s="12"/>
      <c r="BQ691" s="12"/>
      <c r="BR691" s="12"/>
    </row>
    <row r="692">
      <c r="AB692" s="12"/>
      <c r="AC692" s="12"/>
      <c r="AD692" s="12"/>
      <c r="AE692" s="12"/>
      <c r="AF692" s="12"/>
      <c r="AY692" s="12"/>
      <c r="AZ692" s="12"/>
      <c r="BA692" s="12"/>
      <c r="BB692" s="12"/>
      <c r="BO692" s="12"/>
      <c r="BP692" s="12"/>
      <c r="BQ692" s="12"/>
      <c r="BR692" s="12"/>
    </row>
    <row r="693">
      <c r="AB693" s="12"/>
      <c r="AC693" s="12"/>
      <c r="AD693" s="12"/>
      <c r="AE693" s="12"/>
      <c r="AF693" s="12"/>
      <c r="AY693" s="12"/>
      <c r="AZ693" s="12"/>
      <c r="BA693" s="12"/>
      <c r="BB693" s="12"/>
      <c r="BO693" s="12"/>
      <c r="BP693" s="12"/>
      <c r="BQ693" s="12"/>
      <c r="BR693" s="12"/>
    </row>
    <row r="694">
      <c r="AB694" s="12"/>
      <c r="AC694" s="12"/>
      <c r="AD694" s="12"/>
      <c r="AE694" s="12"/>
      <c r="AF694" s="12"/>
      <c r="AY694" s="12"/>
      <c r="AZ694" s="12"/>
      <c r="BA694" s="12"/>
      <c r="BB694" s="12"/>
      <c r="BO694" s="12"/>
      <c r="BP694" s="12"/>
      <c r="BQ694" s="12"/>
      <c r="BR694" s="12"/>
    </row>
    <row r="695">
      <c r="AB695" s="12"/>
      <c r="AC695" s="12"/>
      <c r="AD695" s="12"/>
      <c r="AE695" s="12"/>
      <c r="AF695" s="12"/>
      <c r="AY695" s="12"/>
      <c r="AZ695" s="12"/>
      <c r="BA695" s="12"/>
      <c r="BB695" s="12"/>
      <c r="BO695" s="12"/>
      <c r="BP695" s="12"/>
      <c r="BQ695" s="12"/>
      <c r="BR695" s="12"/>
    </row>
    <row r="696">
      <c r="AB696" s="12"/>
      <c r="AC696" s="12"/>
      <c r="AD696" s="12"/>
      <c r="AE696" s="12"/>
      <c r="AF696" s="12"/>
      <c r="AY696" s="12"/>
      <c r="AZ696" s="12"/>
      <c r="BA696" s="12"/>
      <c r="BB696" s="12"/>
      <c r="BO696" s="12"/>
      <c r="BP696" s="12"/>
      <c r="BQ696" s="12"/>
      <c r="BR696" s="12"/>
    </row>
    <row r="697">
      <c r="AB697" s="12"/>
      <c r="AC697" s="12"/>
      <c r="AD697" s="12"/>
      <c r="AE697" s="12"/>
      <c r="AF697" s="12"/>
      <c r="AY697" s="12"/>
      <c r="AZ697" s="12"/>
      <c r="BA697" s="12"/>
      <c r="BB697" s="12"/>
      <c r="BO697" s="12"/>
      <c r="BP697" s="12"/>
      <c r="BQ697" s="12"/>
      <c r="BR697" s="12"/>
    </row>
    <row r="698">
      <c r="AB698" s="12"/>
      <c r="AC698" s="12"/>
      <c r="AD698" s="12"/>
      <c r="AE698" s="12"/>
      <c r="AF698" s="12"/>
      <c r="AY698" s="12"/>
      <c r="AZ698" s="12"/>
      <c r="BA698" s="12"/>
      <c r="BB698" s="12"/>
      <c r="BO698" s="12"/>
      <c r="BP698" s="12"/>
      <c r="BQ698" s="12"/>
      <c r="BR698" s="12"/>
    </row>
    <row r="699">
      <c r="AB699" s="12"/>
      <c r="AC699" s="12"/>
      <c r="AD699" s="12"/>
      <c r="AE699" s="12"/>
      <c r="AF699" s="12"/>
      <c r="AY699" s="12"/>
      <c r="AZ699" s="12"/>
      <c r="BA699" s="12"/>
      <c r="BB699" s="12"/>
      <c r="BO699" s="12"/>
      <c r="BP699" s="12"/>
      <c r="BQ699" s="12"/>
      <c r="BR699" s="12"/>
    </row>
    <row r="700">
      <c r="AB700" s="12"/>
      <c r="AC700" s="12"/>
      <c r="AD700" s="12"/>
      <c r="AE700" s="12"/>
      <c r="AF700" s="12"/>
      <c r="AY700" s="12"/>
      <c r="AZ700" s="12"/>
      <c r="BA700" s="12"/>
      <c r="BB700" s="12"/>
      <c r="BO700" s="12"/>
      <c r="BP700" s="12"/>
      <c r="BQ700" s="12"/>
      <c r="BR700" s="12"/>
    </row>
    <row r="701">
      <c r="AB701" s="12"/>
      <c r="AC701" s="12"/>
      <c r="AD701" s="12"/>
      <c r="AE701" s="12"/>
      <c r="AF701" s="12"/>
      <c r="AY701" s="12"/>
      <c r="AZ701" s="12"/>
      <c r="BA701" s="12"/>
      <c r="BB701" s="12"/>
      <c r="BO701" s="12"/>
      <c r="BP701" s="12"/>
      <c r="BQ701" s="12"/>
      <c r="BR701" s="12"/>
    </row>
    <row r="702">
      <c r="AB702" s="12"/>
      <c r="AC702" s="12"/>
      <c r="AD702" s="12"/>
      <c r="AE702" s="12"/>
      <c r="AF702" s="12"/>
      <c r="AY702" s="12"/>
      <c r="AZ702" s="12"/>
      <c r="BA702" s="12"/>
      <c r="BB702" s="12"/>
      <c r="BO702" s="12"/>
      <c r="BP702" s="12"/>
      <c r="BQ702" s="12"/>
      <c r="BR702" s="12"/>
    </row>
    <row r="703">
      <c r="AB703" s="12"/>
      <c r="AC703" s="12"/>
      <c r="AD703" s="12"/>
      <c r="AE703" s="12"/>
      <c r="AF703" s="12"/>
      <c r="AY703" s="12"/>
      <c r="AZ703" s="12"/>
      <c r="BA703" s="12"/>
      <c r="BB703" s="12"/>
      <c r="BO703" s="12"/>
      <c r="BP703" s="12"/>
      <c r="BQ703" s="12"/>
      <c r="BR703" s="12"/>
    </row>
    <row r="704">
      <c r="AB704" s="12"/>
      <c r="AC704" s="12"/>
      <c r="AD704" s="12"/>
      <c r="AE704" s="12"/>
      <c r="AF704" s="12"/>
      <c r="AY704" s="12"/>
      <c r="AZ704" s="12"/>
      <c r="BA704" s="12"/>
      <c r="BB704" s="12"/>
      <c r="BO704" s="12"/>
      <c r="BP704" s="12"/>
      <c r="BQ704" s="12"/>
      <c r="BR704" s="12"/>
    </row>
    <row r="705">
      <c r="AB705" s="12"/>
      <c r="AC705" s="12"/>
      <c r="AD705" s="12"/>
      <c r="AE705" s="12"/>
      <c r="AF705" s="12"/>
      <c r="AY705" s="12"/>
      <c r="AZ705" s="12"/>
      <c r="BA705" s="12"/>
      <c r="BB705" s="12"/>
      <c r="BO705" s="12"/>
      <c r="BP705" s="12"/>
      <c r="BQ705" s="12"/>
      <c r="BR705" s="12"/>
    </row>
    <row r="706">
      <c r="AB706" s="12"/>
      <c r="AC706" s="12"/>
      <c r="AD706" s="12"/>
      <c r="AE706" s="12"/>
      <c r="AF706" s="12"/>
      <c r="AY706" s="12"/>
      <c r="AZ706" s="12"/>
      <c r="BA706" s="12"/>
      <c r="BB706" s="12"/>
      <c r="BO706" s="12"/>
      <c r="BP706" s="12"/>
      <c r="BQ706" s="12"/>
      <c r="BR706" s="12"/>
    </row>
    <row r="707">
      <c r="AB707" s="12"/>
      <c r="AC707" s="12"/>
      <c r="AD707" s="12"/>
      <c r="AE707" s="12"/>
      <c r="AF707" s="12"/>
      <c r="AY707" s="12"/>
      <c r="AZ707" s="12"/>
      <c r="BA707" s="12"/>
      <c r="BB707" s="12"/>
      <c r="BO707" s="12"/>
      <c r="BP707" s="12"/>
      <c r="BQ707" s="12"/>
      <c r="BR707" s="12"/>
    </row>
    <row r="708">
      <c r="AB708" s="12"/>
      <c r="AC708" s="12"/>
      <c r="AD708" s="12"/>
      <c r="AE708" s="12"/>
      <c r="AF708" s="12"/>
      <c r="AY708" s="12"/>
      <c r="AZ708" s="12"/>
      <c r="BA708" s="12"/>
      <c r="BB708" s="12"/>
      <c r="BO708" s="12"/>
      <c r="BP708" s="12"/>
      <c r="BQ708" s="12"/>
      <c r="BR708" s="12"/>
    </row>
    <row r="709">
      <c r="AB709" s="12"/>
      <c r="AC709" s="12"/>
      <c r="AD709" s="12"/>
      <c r="AE709" s="12"/>
      <c r="AF709" s="12"/>
      <c r="AY709" s="12"/>
      <c r="AZ709" s="12"/>
      <c r="BA709" s="12"/>
      <c r="BB709" s="12"/>
      <c r="BO709" s="12"/>
      <c r="BP709" s="12"/>
      <c r="BQ709" s="12"/>
      <c r="BR709" s="12"/>
    </row>
    <row r="710">
      <c r="AB710" s="12"/>
      <c r="AC710" s="12"/>
      <c r="AD710" s="12"/>
      <c r="AE710" s="12"/>
      <c r="AF710" s="12"/>
      <c r="AY710" s="12"/>
      <c r="AZ710" s="12"/>
      <c r="BA710" s="12"/>
      <c r="BB710" s="12"/>
      <c r="BO710" s="12"/>
      <c r="BP710" s="12"/>
      <c r="BQ710" s="12"/>
      <c r="BR710" s="12"/>
    </row>
    <row r="711">
      <c r="AB711" s="12"/>
      <c r="AC711" s="12"/>
      <c r="AD711" s="12"/>
      <c r="AE711" s="12"/>
      <c r="AF711" s="12"/>
      <c r="AY711" s="12"/>
      <c r="AZ711" s="12"/>
      <c r="BA711" s="12"/>
      <c r="BB711" s="12"/>
      <c r="BO711" s="12"/>
      <c r="BP711" s="12"/>
      <c r="BQ711" s="12"/>
      <c r="BR711" s="12"/>
    </row>
    <row r="712">
      <c r="AB712" s="12"/>
      <c r="AC712" s="12"/>
      <c r="AD712" s="12"/>
      <c r="AE712" s="12"/>
      <c r="AF712" s="12"/>
      <c r="AY712" s="12"/>
      <c r="AZ712" s="12"/>
      <c r="BA712" s="12"/>
      <c r="BB712" s="12"/>
      <c r="BO712" s="12"/>
      <c r="BP712" s="12"/>
      <c r="BQ712" s="12"/>
      <c r="BR712" s="12"/>
    </row>
    <row r="713">
      <c r="AB713" s="12"/>
      <c r="AC713" s="12"/>
      <c r="AD713" s="12"/>
      <c r="AE713" s="12"/>
      <c r="AF713" s="12"/>
      <c r="AY713" s="12"/>
      <c r="AZ713" s="12"/>
      <c r="BA713" s="12"/>
      <c r="BB713" s="12"/>
      <c r="BO713" s="12"/>
      <c r="BP713" s="12"/>
      <c r="BQ713" s="12"/>
      <c r="BR713" s="12"/>
    </row>
    <row r="714">
      <c r="AB714" s="12"/>
      <c r="AC714" s="12"/>
      <c r="AD714" s="12"/>
      <c r="AE714" s="12"/>
      <c r="AF714" s="12"/>
      <c r="AY714" s="12"/>
      <c r="AZ714" s="12"/>
      <c r="BA714" s="12"/>
      <c r="BB714" s="12"/>
      <c r="BO714" s="12"/>
      <c r="BP714" s="12"/>
      <c r="BQ714" s="12"/>
      <c r="BR714" s="12"/>
    </row>
    <row r="715">
      <c r="AB715" s="12"/>
      <c r="AC715" s="12"/>
      <c r="AD715" s="12"/>
      <c r="AE715" s="12"/>
      <c r="AF715" s="12"/>
      <c r="AY715" s="12"/>
      <c r="AZ715" s="12"/>
      <c r="BA715" s="12"/>
      <c r="BB715" s="12"/>
      <c r="BO715" s="12"/>
      <c r="BP715" s="12"/>
      <c r="BQ715" s="12"/>
      <c r="BR715" s="12"/>
    </row>
    <row r="716">
      <c r="AB716" s="12"/>
      <c r="AC716" s="12"/>
      <c r="AD716" s="12"/>
      <c r="AE716" s="12"/>
      <c r="AF716" s="12"/>
      <c r="AY716" s="12"/>
      <c r="AZ716" s="12"/>
      <c r="BA716" s="12"/>
      <c r="BB716" s="12"/>
      <c r="BO716" s="12"/>
      <c r="BP716" s="12"/>
      <c r="BQ716" s="12"/>
      <c r="BR716" s="12"/>
    </row>
    <row r="717">
      <c r="AB717" s="12"/>
      <c r="AC717" s="12"/>
      <c r="AD717" s="12"/>
      <c r="AE717" s="12"/>
      <c r="AF717" s="12"/>
      <c r="AY717" s="12"/>
      <c r="AZ717" s="12"/>
      <c r="BA717" s="12"/>
      <c r="BB717" s="12"/>
      <c r="BO717" s="12"/>
      <c r="BP717" s="12"/>
      <c r="BQ717" s="12"/>
      <c r="BR717" s="12"/>
    </row>
    <row r="718">
      <c r="AB718" s="12"/>
      <c r="AC718" s="12"/>
      <c r="AD718" s="12"/>
      <c r="AE718" s="12"/>
      <c r="AF718" s="12"/>
      <c r="AY718" s="12"/>
      <c r="AZ718" s="12"/>
      <c r="BA718" s="12"/>
      <c r="BB718" s="12"/>
      <c r="BO718" s="12"/>
      <c r="BP718" s="12"/>
      <c r="BQ718" s="12"/>
      <c r="BR718" s="12"/>
    </row>
    <row r="719">
      <c r="AB719" s="12"/>
      <c r="AC719" s="12"/>
      <c r="AD719" s="12"/>
      <c r="AE719" s="12"/>
      <c r="AF719" s="12"/>
      <c r="AY719" s="12"/>
      <c r="AZ719" s="12"/>
      <c r="BA719" s="12"/>
      <c r="BB719" s="12"/>
      <c r="BO719" s="12"/>
      <c r="BP719" s="12"/>
      <c r="BQ719" s="12"/>
      <c r="BR719" s="12"/>
    </row>
    <row r="720">
      <c r="AB720" s="12"/>
      <c r="AC720" s="12"/>
      <c r="AD720" s="12"/>
      <c r="AE720" s="12"/>
      <c r="AF720" s="12"/>
      <c r="AY720" s="12"/>
      <c r="AZ720" s="12"/>
      <c r="BA720" s="12"/>
      <c r="BB720" s="12"/>
      <c r="BO720" s="12"/>
      <c r="BP720" s="12"/>
      <c r="BQ720" s="12"/>
      <c r="BR720" s="12"/>
    </row>
    <row r="721">
      <c r="AB721" s="12"/>
      <c r="AC721" s="12"/>
      <c r="AD721" s="12"/>
      <c r="AE721" s="12"/>
      <c r="AF721" s="12"/>
      <c r="AY721" s="12"/>
      <c r="AZ721" s="12"/>
      <c r="BA721" s="12"/>
      <c r="BB721" s="12"/>
      <c r="BO721" s="12"/>
      <c r="BP721" s="12"/>
      <c r="BQ721" s="12"/>
      <c r="BR721" s="12"/>
    </row>
    <row r="722">
      <c r="AB722" s="12"/>
      <c r="AC722" s="12"/>
      <c r="AD722" s="12"/>
      <c r="AE722" s="12"/>
      <c r="AF722" s="12"/>
      <c r="AY722" s="12"/>
      <c r="AZ722" s="12"/>
      <c r="BA722" s="12"/>
      <c r="BB722" s="12"/>
      <c r="BO722" s="12"/>
      <c r="BP722" s="12"/>
      <c r="BQ722" s="12"/>
      <c r="BR722" s="12"/>
    </row>
    <row r="723">
      <c r="AB723" s="12"/>
      <c r="AC723" s="12"/>
      <c r="AD723" s="12"/>
      <c r="AE723" s="12"/>
      <c r="AF723" s="12"/>
      <c r="AY723" s="12"/>
      <c r="AZ723" s="12"/>
      <c r="BA723" s="12"/>
      <c r="BB723" s="12"/>
      <c r="BO723" s="12"/>
      <c r="BP723" s="12"/>
      <c r="BQ723" s="12"/>
      <c r="BR723" s="12"/>
    </row>
    <row r="724">
      <c r="AB724" s="12"/>
      <c r="AC724" s="12"/>
      <c r="AD724" s="12"/>
      <c r="AE724" s="12"/>
      <c r="AF724" s="12"/>
      <c r="AY724" s="12"/>
      <c r="AZ724" s="12"/>
      <c r="BA724" s="12"/>
      <c r="BB724" s="12"/>
      <c r="BO724" s="12"/>
      <c r="BP724" s="12"/>
      <c r="BQ724" s="12"/>
      <c r="BR724" s="12"/>
    </row>
    <row r="725">
      <c r="AB725" s="12"/>
      <c r="AC725" s="12"/>
      <c r="AD725" s="12"/>
      <c r="AE725" s="12"/>
      <c r="AF725" s="12"/>
      <c r="AY725" s="12"/>
      <c r="AZ725" s="12"/>
      <c r="BA725" s="12"/>
      <c r="BB725" s="12"/>
      <c r="BO725" s="12"/>
      <c r="BP725" s="12"/>
      <c r="BQ725" s="12"/>
      <c r="BR725" s="12"/>
    </row>
    <row r="726">
      <c r="AB726" s="12"/>
      <c r="AC726" s="12"/>
      <c r="AD726" s="12"/>
      <c r="AE726" s="12"/>
      <c r="AF726" s="12"/>
      <c r="AY726" s="12"/>
      <c r="AZ726" s="12"/>
      <c r="BA726" s="12"/>
      <c r="BB726" s="12"/>
      <c r="BO726" s="12"/>
      <c r="BP726" s="12"/>
      <c r="BQ726" s="12"/>
      <c r="BR726" s="12"/>
    </row>
    <row r="727">
      <c r="AB727" s="12"/>
      <c r="AC727" s="12"/>
      <c r="AD727" s="12"/>
      <c r="AE727" s="12"/>
      <c r="AF727" s="12"/>
      <c r="AY727" s="12"/>
      <c r="AZ727" s="12"/>
      <c r="BA727" s="12"/>
      <c r="BB727" s="12"/>
      <c r="BO727" s="12"/>
      <c r="BP727" s="12"/>
      <c r="BQ727" s="12"/>
      <c r="BR727" s="12"/>
    </row>
    <row r="728">
      <c r="AB728" s="12"/>
      <c r="AC728" s="12"/>
      <c r="AD728" s="12"/>
      <c r="AE728" s="12"/>
      <c r="AF728" s="12"/>
      <c r="AY728" s="12"/>
      <c r="AZ728" s="12"/>
      <c r="BA728" s="12"/>
      <c r="BB728" s="12"/>
      <c r="BO728" s="12"/>
      <c r="BP728" s="12"/>
      <c r="BQ728" s="12"/>
      <c r="BR728" s="12"/>
    </row>
    <row r="729">
      <c r="AB729" s="12"/>
      <c r="AC729" s="12"/>
      <c r="AD729" s="12"/>
      <c r="AE729" s="12"/>
      <c r="AF729" s="12"/>
      <c r="AY729" s="12"/>
      <c r="AZ729" s="12"/>
      <c r="BA729" s="12"/>
      <c r="BB729" s="12"/>
      <c r="BO729" s="12"/>
      <c r="BP729" s="12"/>
      <c r="BQ729" s="12"/>
      <c r="BR729" s="12"/>
    </row>
    <row r="730">
      <c r="AB730" s="12"/>
      <c r="AC730" s="12"/>
      <c r="AD730" s="12"/>
      <c r="AE730" s="12"/>
      <c r="AF730" s="12"/>
      <c r="AY730" s="12"/>
      <c r="AZ730" s="12"/>
      <c r="BA730" s="12"/>
      <c r="BB730" s="12"/>
      <c r="BO730" s="12"/>
      <c r="BP730" s="12"/>
      <c r="BQ730" s="12"/>
      <c r="BR730" s="12"/>
    </row>
    <row r="731">
      <c r="AB731" s="12"/>
      <c r="AC731" s="12"/>
      <c r="AD731" s="12"/>
      <c r="AE731" s="12"/>
      <c r="AF731" s="12"/>
      <c r="AY731" s="12"/>
      <c r="AZ731" s="12"/>
      <c r="BA731" s="12"/>
      <c r="BB731" s="12"/>
      <c r="BO731" s="12"/>
      <c r="BP731" s="12"/>
      <c r="BQ731" s="12"/>
      <c r="BR731" s="12"/>
    </row>
    <row r="732">
      <c r="AB732" s="12"/>
      <c r="AC732" s="12"/>
      <c r="AD732" s="12"/>
      <c r="AE732" s="12"/>
      <c r="AF732" s="12"/>
      <c r="AY732" s="12"/>
      <c r="AZ732" s="12"/>
      <c r="BA732" s="12"/>
      <c r="BB732" s="12"/>
      <c r="BO732" s="12"/>
      <c r="BP732" s="12"/>
      <c r="BQ732" s="12"/>
      <c r="BR732" s="12"/>
    </row>
    <row r="733">
      <c r="AB733" s="12"/>
      <c r="AC733" s="12"/>
      <c r="AD733" s="12"/>
      <c r="AE733" s="12"/>
      <c r="AF733" s="12"/>
      <c r="AY733" s="12"/>
      <c r="AZ733" s="12"/>
      <c r="BA733" s="12"/>
      <c r="BB733" s="12"/>
      <c r="BO733" s="12"/>
      <c r="BP733" s="12"/>
      <c r="BQ733" s="12"/>
      <c r="BR733" s="12"/>
    </row>
    <row r="734">
      <c r="AB734" s="12"/>
      <c r="AC734" s="12"/>
      <c r="AD734" s="12"/>
      <c r="AE734" s="12"/>
      <c r="AF734" s="12"/>
      <c r="AY734" s="12"/>
      <c r="AZ734" s="12"/>
      <c r="BA734" s="12"/>
      <c r="BB734" s="12"/>
      <c r="BO734" s="12"/>
      <c r="BP734" s="12"/>
      <c r="BQ734" s="12"/>
      <c r="BR734" s="12"/>
    </row>
    <row r="735">
      <c r="AB735" s="12"/>
      <c r="AC735" s="12"/>
      <c r="AD735" s="12"/>
      <c r="AE735" s="12"/>
      <c r="AF735" s="12"/>
      <c r="AY735" s="12"/>
      <c r="AZ735" s="12"/>
      <c r="BA735" s="12"/>
      <c r="BB735" s="12"/>
      <c r="BO735" s="12"/>
      <c r="BP735" s="12"/>
      <c r="BQ735" s="12"/>
      <c r="BR735" s="12"/>
    </row>
    <row r="736">
      <c r="AB736" s="12"/>
      <c r="AC736" s="12"/>
      <c r="AD736" s="12"/>
      <c r="AE736" s="12"/>
      <c r="AF736" s="12"/>
      <c r="AY736" s="12"/>
      <c r="AZ736" s="12"/>
      <c r="BA736" s="12"/>
      <c r="BB736" s="12"/>
      <c r="BO736" s="12"/>
      <c r="BP736" s="12"/>
      <c r="BQ736" s="12"/>
      <c r="BR736" s="12"/>
    </row>
    <row r="737">
      <c r="AB737" s="12"/>
      <c r="AC737" s="12"/>
      <c r="AD737" s="12"/>
      <c r="AE737" s="12"/>
      <c r="AF737" s="12"/>
      <c r="AY737" s="12"/>
      <c r="AZ737" s="12"/>
      <c r="BA737" s="12"/>
      <c r="BB737" s="12"/>
      <c r="BO737" s="12"/>
      <c r="BP737" s="12"/>
      <c r="BQ737" s="12"/>
      <c r="BR737" s="12"/>
    </row>
    <row r="738">
      <c r="AB738" s="12"/>
      <c r="AC738" s="12"/>
      <c r="AD738" s="12"/>
      <c r="AE738" s="12"/>
      <c r="AF738" s="12"/>
      <c r="AY738" s="12"/>
      <c r="AZ738" s="12"/>
      <c r="BA738" s="12"/>
      <c r="BB738" s="12"/>
      <c r="BO738" s="12"/>
      <c r="BP738" s="12"/>
      <c r="BQ738" s="12"/>
      <c r="BR738" s="12"/>
    </row>
    <row r="739">
      <c r="AB739" s="12"/>
      <c r="AC739" s="12"/>
      <c r="AD739" s="12"/>
      <c r="AE739" s="12"/>
      <c r="AF739" s="12"/>
      <c r="AY739" s="12"/>
      <c r="AZ739" s="12"/>
      <c r="BA739" s="12"/>
      <c r="BB739" s="12"/>
      <c r="BO739" s="12"/>
      <c r="BP739" s="12"/>
      <c r="BQ739" s="12"/>
      <c r="BR739" s="12"/>
    </row>
    <row r="740">
      <c r="AB740" s="12"/>
      <c r="AC740" s="12"/>
      <c r="AD740" s="12"/>
      <c r="AE740" s="12"/>
      <c r="AF740" s="12"/>
      <c r="AY740" s="12"/>
      <c r="AZ740" s="12"/>
      <c r="BA740" s="12"/>
      <c r="BB740" s="12"/>
      <c r="BO740" s="12"/>
      <c r="BP740" s="12"/>
      <c r="BQ740" s="12"/>
      <c r="BR740" s="12"/>
    </row>
    <row r="741">
      <c r="AB741" s="12"/>
      <c r="AC741" s="12"/>
      <c r="AD741" s="12"/>
      <c r="AE741" s="12"/>
      <c r="AF741" s="12"/>
      <c r="AY741" s="12"/>
      <c r="AZ741" s="12"/>
      <c r="BA741" s="12"/>
      <c r="BB741" s="12"/>
      <c r="BO741" s="12"/>
      <c r="BP741" s="12"/>
      <c r="BQ741" s="12"/>
      <c r="BR741" s="12"/>
    </row>
    <row r="742">
      <c r="AB742" s="12"/>
      <c r="AC742" s="12"/>
      <c r="AD742" s="12"/>
      <c r="AE742" s="12"/>
      <c r="AF742" s="12"/>
      <c r="AY742" s="12"/>
      <c r="AZ742" s="12"/>
      <c r="BA742" s="12"/>
      <c r="BB742" s="12"/>
      <c r="BO742" s="12"/>
      <c r="BP742" s="12"/>
      <c r="BQ742" s="12"/>
      <c r="BR742" s="12"/>
    </row>
    <row r="743">
      <c r="AB743" s="12"/>
      <c r="AC743" s="12"/>
      <c r="AD743" s="12"/>
      <c r="AE743" s="12"/>
      <c r="AF743" s="12"/>
      <c r="AY743" s="12"/>
      <c r="AZ743" s="12"/>
      <c r="BA743" s="12"/>
      <c r="BB743" s="12"/>
      <c r="BO743" s="12"/>
      <c r="BP743" s="12"/>
      <c r="BQ743" s="12"/>
      <c r="BR743" s="12"/>
    </row>
    <row r="744">
      <c r="AB744" s="12"/>
      <c r="AC744" s="12"/>
      <c r="AD744" s="12"/>
      <c r="AE744" s="12"/>
      <c r="AF744" s="12"/>
      <c r="AY744" s="12"/>
      <c r="AZ744" s="12"/>
      <c r="BA744" s="12"/>
      <c r="BB744" s="12"/>
      <c r="BO744" s="12"/>
      <c r="BP744" s="12"/>
      <c r="BQ744" s="12"/>
      <c r="BR744" s="12"/>
    </row>
    <row r="745">
      <c r="AB745" s="12"/>
      <c r="AC745" s="12"/>
      <c r="AD745" s="12"/>
      <c r="AE745" s="12"/>
      <c r="AF745" s="12"/>
      <c r="AY745" s="12"/>
      <c r="AZ745" s="12"/>
      <c r="BA745" s="12"/>
      <c r="BB745" s="12"/>
      <c r="BO745" s="12"/>
      <c r="BP745" s="12"/>
      <c r="BQ745" s="12"/>
      <c r="BR745" s="12"/>
    </row>
    <row r="746">
      <c r="AB746" s="12"/>
      <c r="AC746" s="12"/>
      <c r="AD746" s="12"/>
      <c r="AE746" s="12"/>
      <c r="AF746" s="12"/>
      <c r="AY746" s="12"/>
      <c r="AZ746" s="12"/>
      <c r="BA746" s="12"/>
      <c r="BB746" s="12"/>
      <c r="BO746" s="12"/>
      <c r="BP746" s="12"/>
      <c r="BQ746" s="12"/>
      <c r="BR746" s="12"/>
    </row>
    <row r="747">
      <c r="AB747" s="12"/>
      <c r="AC747" s="12"/>
      <c r="AD747" s="12"/>
      <c r="AE747" s="12"/>
      <c r="AF747" s="12"/>
      <c r="AY747" s="12"/>
      <c r="AZ747" s="12"/>
      <c r="BA747" s="12"/>
      <c r="BB747" s="12"/>
      <c r="BO747" s="12"/>
      <c r="BP747" s="12"/>
      <c r="BQ747" s="12"/>
      <c r="BR747" s="12"/>
    </row>
    <row r="748">
      <c r="AB748" s="12"/>
      <c r="AC748" s="12"/>
      <c r="AD748" s="12"/>
      <c r="AE748" s="12"/>
      <c r="AF748" s="12"/>
      <c r="AY748" s="12"/>
      <c r="AZ748" s="12"/>
      <c r="BA748" s="12"/>
      <c r="BB748" s="12"/>
      <c r="BO748" s="12"/>
      <c r="BP748" s="12"/>
      <c r="BQ748" s="12"/>
      <c r="BR748" s="12"/>
    </row>
    <row r="749">
      <c r="AB749" s="12"/>
      <c r="AC749" s="12"/>
      <c r="AD749" s="12"/>
      <c r="AE749" s="12"/>
      <c r="AF749" s="12"/>
      <c r="AY749" s="12"/>
      <c r="AZ749" s="12"/>
      <c r="BA749" s="12"/>
      <c r="BB749" s="12"/>
      <c r="BO749" s="12"/>
      <c r="BP749" s="12"/>
      <c r="BQ749" s="12"/>
      <c r="BR749" s="12"/>
    </row>
    <row r="750">
      <c r="AB750" s="12"/>
      <c r="AC750" s="12"/>
      <c r="AD750" s="12"/>
      <c r="AE750" s="12"/>
      <c r="AF750" s="12"/>
      <c r="AY750" s="12"/>
      <c r="AZ750" s="12"/>
      <c r="BA750" s="12"/>
      <c r="BB750" s="12"/>
      <c r="BO750" s="12"/>
      <c r="BP750" s="12"/>
      <c r="BQ750" s="12"/>
      <c r="BR750" s="12"/>
    </row>
    <row r="751">
      <c r="AB751" s="12"/>
      <c r="AC751" s="12"/>
      <c r="AD751" s="12"/>
      <c r="AE751" s="12"/>
      <c r="AF751" s="12"/>
      <c r="AY751" s="12"/>
      <c r="AZ751" s="12"/>
      <c r="BA751" s="12"/>
      <c r="BB751" s="12"/>
      <c r="BO751" s="12"/>
      <c r="BP751" s="12"/>
      <c r="BQ751" s="12"/>
      <c r="BR751" s="12"/>
    </row>
    <row r="752">
      <c r="AB752" s="12"/>
      <c r="AC752" s="12"/>
      <c r="AD752" s="12"/>
      <c r="AE752" s="12"/>
      <c r="AF752" s="12"/>
      <c r="AY752" s="12"/>
      <c r="AZ752" s="12"/>
      <c r="BA752" s="12"/>
      <c r="BB752" s="12"/>
      <c r="BO752" s="12"/>
      <c r="BP752" s="12"/>
      <c r="BQ752" s="12"/>
      <c r="BR752" s="12"/>
    </row>
    <row r="753">
      <c r="AB753" s="12"/>
      <c r="AC753" s="12"/>
      <c r="AD753" s="12"/>
      <c r="AE753" s="12"/>
      <c r="AF753" s="12"/>
      <c r="AY753" s="12"/>
      <c r="AZ753" s="12"/>
      <c r="BA753" s="12"/>
      <c r="BB753" s="12"/>
      <c r="BO753" s="12"/>
      <c r="BP753" s="12"/>
      <c r="BQ753" s="12"/>
      <c r="BR753" s="12"/>
    </row>
    <row r="754">
      <c r="AB754" s="12"/>
      <c r="AC754" s="12"/>
      <c r="AD754" s="12"/>
      <c r="AE754" s="12"/>
      <c r="AF754" s="12"/>
      <c r="AY754" s="12"/>
      <c r="AZ754" s="12"/>
      <c r="BA754" s="12"/>
      <c r="BB754" s="12"/>
      <c r="BO754" s="12"/>
      <c r="BP754" s="12"/>
      <c r="BQ754" s="12"/>
      <c r="BR754" s="12"/>
    </row>
    <row r="755">
      <c r="AB755" s="12"/>
      <c r="AC755" s="12"/>
      <c r="AD755" s="12"/>
      <c r="AE755" s="12"/>
      <c r="AF755" s="12"/>
      <c r="AY755" s="12"/>
      <c r="AZ755" s="12"/>
      <c r="BA755" s="12"/>
      <c r="BB755" s="12"/>
      <c r="BO755" s="12"/>
      <c r="BP755" s="12"/>
      <c r="BQ755" s="12"/>
      <c r="BR755" s="12"/>
    </row>
    <row r="756">
      <c r="AB756" s="12"/>
      <c r="AC756" s="12"/>
      <c r="AD756" s="12"/>
      <c r="AE756" s="12"/>
      <c r="AF756" s="12"/>
      <c r="AY756" s="12"/>
      <c r="AZ756" s="12"/>
      <c r="BA756" s="12"/>
      <c r="BB756" s="12"/>
      <c r="BO756" s="12"/>
      <c r="BP756" s="12"/>
      <c r="BQ756" s="12"/>
      <c r="BR756" s="12"/>
    </row>
    <row r="757">
      <c r="AB757" s="12"/>
      <c r="AC757" s="12"/>
      <c r="AD757" s="12"/>
      <c r="AE757" s="12"/>
      <c r="AF757" s="12"/>
      <c r="AY757" s="12"/>
      <c r="AZ757" s="12"/>
      <c r="BA757" s="12"/>
      <c r="BB757" s="12"/>
      <c r="BO757" s="12"/>
      <c r="BP757" s="12"/>
      <c r="BQ757" s="12"/>
      <c r="BR757" s="12"/>
    </row>
    <row r="758">
      <c r="AB758" s="12"/>
      <c r="AC758" s="12"/>
      <c r="AD758" s="12"/>
      <c r="AE758" s="12"/>
      <c r="AF758" s="12"/>
      <c r="AY758" s="12"/>
      <c r="AZ758" s="12"/>
      <c r="BA758" s="12"/>
      <c r="BB758" s="12"/>
      <c r="BO758" s="12"/>
      <c r="BP758" s="12"/>
      <c r="BQ758" s="12"/>
      <c r="BR758" s="12"/>
    </row>
    <row r="759">
      <c r="AB759" s="12"/>
      <c r="AC759" s="12"/>
      <c r="AD759" s="12"/>
      <c r="AE759" s="12"/>
      <c r="AF759" s="12"/>
      <c r="AY759" s="12"/>
      <c r="AZ759" s="12"/>
      <c r="BA759" s="12"/>
      <c r="BB759" s="12"/>
      <c r="BO759" s="12"/>
      <c r="BP759" s="12"/>
      <c r="BQ759" s="12"/>
      <c r="BR759" s="12"/>
    </row>
    <row r="760">
      <c r="AB760" s="12"/>
      <c r="AC760" s="12"/>
      <c r="AD760" s="12"/>
      <c r="AE760" s="12"/>
      <c r="AF760" s="12"/>
      <c r="AY760" s="12"/>
      <c r="AZ760" s="12"/>
      <c r="BA760" s="12"/>
      <c r="BB760" s="12"/>
      <c r="BO760" s="12"/>
      <c r="BP760" s="12"/>
      <c r="BQ760" s="12"/>
      <c r="BR760" s="12"/>
    </row>
    <row r="761">
      <c r="AB761" s="12"/>
      <c r="AC761" s="12"/>
      <c r="AD761" s="12"/>
      <c r="AE761" s="12"/>
      <c r="AF761" s="12"/>
      <c r="AY761" s="12"/>
      <c r="AZ761" s="12"/>
      <c r="BA761" s="12"/>
      <c r="BB761" s="12"/>
      <c r="BO761" s="12"/>
      <c r="BP761" s="12"/>
      <c r="BQ761" s="12"/>
      <c r="BR761" s="12"/>
    </row>
    <row r="762">
      <c r="AB762" s="12"/>
      <c r="AC762" s="12"/>
      <c r="AD762" s="12"/>
      <c r="AE762" s="12"/>
      <c r="AF762" s="12"/>
      <c r="AY762" s="12"/>
      <c r="AZ762" s="12"/>
      <c r="BA762" s="12"/>
      <c r="BB762" s="12"/>
      <c r="BO762" s="12"/>
      <c r="BP762" s="12"/>
      <c r="BQ762" s="12"/>
      <c r="BR762" s="12"/>
    </row>
    <row r="763">
      <c r="AB763" s="12"/>
      <c r="AC763" s="12"/>
      <c r="AD763" s="12"/>
      <c r="AE763" s="12"/>
      <c r="AF763" s="12"/>
      <c r="AY763" s="12"/>
      <c r="AZ763" s="12"/>
      <c r="BA763" s="12"/>
      <c r="BB763" s="12"/>
      <c r="BO763" s="12"/>
      <c r="BP763" s="12"/>
      <c r="BQ763" s="12"/>
      <c r="BR763" s="12"/>
    </row>
    <row r="764">
      <c r="AB764" s="12"/>
      <c r="AC764" s="12"/>
      <c r="AD764" s="12"/>
      <c r="AE764" s="12"/>
      <c r="AF764" s="12"/>
      <c r="AY764" s="12"/>
      <c r="AZ764" s="12"/>
      <c r="BA764" s="12"/>
      <c r="BB764" s="12"/>
      <c r="BO764" s="12"/>
      <c r="BP764" s="12"/>
      <c r="BQ764" s="12"/>
      <c r="BR764" s="12"/>
    </row>
    <row r="765">
      <c r="AB765" s="12"/>
      <c r="AC765" s="12"/>
      <c r="AD765" s="12"/>
      <c r="AE765" s="12"/>
      <c r="AF765" s="12"/>
      <c r="AY765" s="12"/>
      <c r="AZ765" s="12"/>
      <c r="BA765" s="12"/>
      <c r="BB765" s="12"/>
      <c r="BO765" s="12"/>
      <c r="BP765" s="12"/>
      <c r="BQ765" s="12"/>
      <c r="BR765" s="12"/>
    </row>
    <row r="766">
      <c r="AB766" s="12"/>
      <c r="AC766" s="12"/>
      <c r="AD766" s="12"/>
      <c r="AE766" s="12"/>
      <c r="AF766" s="12"/>
      <c r="AY766" s="12"/>
      <c r="AZ766" s="12"/>
      <c r="BA766" s="12"/>
      <c r="BB766" s="12"/>
      <c r="BO766" s="12"/>
      <c r="BP766" s="12"/>
      <c r="BQ766" s="12"/>
      <c r="BR766" s="12"/>
    </row>
    <row r="767">
      <c r="AB767" s="12"/>
      <c r="AC767" s="12"/>
      <c r="AD767" s="12"/>
      <c r="AE767" s="12"/>
      <c r="AF767" s="12"/>
      <c r="AY767" s="12"/>
      <c r="AZ767" s="12"/>
      <c r="BA767" s="12"/>
      <c r="BB767" s="12"/>
      <c r="BO767" s="12"/>
      <c r="BP767" s="12"/>
      <c r="BQ767" s="12"/>
      <c r="BR767" s="12"/>
    </row>
    <row r="768">
      <c r="AB768" s="12"/>
      <c r="AC768" s="12"/>
      <c r="AD768" s="12"/>
      <c r="AE768" s="12"/>
      <c r="AF768" s="12"/>
      <c r="AY768" s="12"/>
      <c r="AZ768" s="12"/>
      <c r="BA768" s="12"/>
      <c r="BB768" s="12"/>
      <c r="BO768" s="12"/>
      <c r="BP768" s="12"/>
      <c r="BQ768" s="12"/>
      <c r="BR768" s="12"/>
    </row>
    <row r="769">
      <c r="AB769" s="12"/>
      <c r="AC769" s="12"/>
      <c r="AD769" s="12"/>
      <c r="AE769" s="12"/>
      <c r="AF769" s="12"/>
      <c r="AY769" s="12"/>
      <c r="AZ769" s="12"/>
      <c r="BA769" s="12"/>
      <c r="BB769" s="12"/>
      <c r="BO769" s="12"/>
      <c r="BP769" s="12"/>
      <c r="BQ769" s="12"/>
      <c r="BR769" s="12"/>
    </row>
    <row r="770">
      <c r="AB770" s="12"/>
      <c r="AC770" s="12"/>
      <c r="AD770" s="12"/>
      <c r="AE770" s="12"/>
      <c r="AF770" s="12"/>
      <c r="AY770" s="12"/>
      <c r="AZ770" s="12"/>
      <c r="BA770" s="12"/>
      <c r="BB770" s="12"/>
      <c r="BO770" s="12"/>
      <c r="BP770" s="12"/>
      <c r="BQ770" s="12"/>
      <c r="BR770" s="12"/>
    </row>
    <row r="771">
      <c r="AB771" s="12"/>
      <c r="AC771" s="12"/>
      <c r="AD771" s="12"/>
      <c r="AE771" s="12"/>
      <c r="AF771" s="12"/>
      <c r="AY771" s="12"/>
      <c r="AZ771" s="12"/>
      <c r="BA771" s="12"/>
      <c r="BB771" s="12"/>
      <c r="BO771" s="12"/>
      <c r="BP771" s="12"/>
      <c r="BQ771" s="12"/>
      <c r="BR771" s="12"/>
    </row>
    <row r="772">
      <c r="AB772" s="12"/>
      <c r="AC772" s="12"/>
      <c r="AD772" s="12"/>
      <c r="AE772" s="12"/>
      <c r="AF772" s="12"/>
      <c r="AY772" s="12"/>
      <c r="AZ772" s="12"/>
      <c r="BA772" s="12"/>
      <c r="BB772" s="12"/>
      <c r="BO772" s="12"/>
      <c r="BP772" s="12"/>
      <c r="BQ772" s="12"/>
      <c r="BR772" s="12"/>
    </row>
    <row r="773">
      <c r="AB773" s="12"/>
      <c r="AC773" s="12"/>
      <c r="AD773" s="12"/>
      <c r="AE773" s="12"/>
      <c r="AF773" s="12"/>
      <c r="AY773" s="12"/>
      <c r="AZ773" s="12"/>
      <c r="BA773" s="12"/>
      <c r="BB773" s="12"/>
      <c r="BO773" s="12"/>
      <c r="BP773" s="12"/>
      <c r="BQ773" s="12"/>
      <c r="BR773" s="12"/>
    </row>
    <row r="774">
      <c r="AB774" s="12"/>
      <c r="AC774" s="12"/>
      <c r="AD774" s="12"/>
      <c r="AE774" s="12"/>
      <c r="AF774" s="12"/>
      <c r="AY774" s="12"/>
      <c r="AZ774" s="12"/>
      <c r="BA774" s="12"/>
      <c r="BB774" s="12"/>
      <c r="BO774" s="12"/>
      <c r="BP774" s="12"/>
      <c r="BQ774" s="12"/>
      <c r="BR774" s="12"/>
    </row>
    <row r="775">
      <c r="AB775" s="12"/>
      <c r="AC775" s="12"/>
      <c r="AD775" s="12"/>
      <c r="AE775" s="12"/>
      <c r="AF775" s="12"/>
      <c r="AY775" s="12"/>
      <c r="AZ775" s="12"/>
      <c r="BA775" s="12"/>
      <c r="BB775" s="12"/>
      <c r="BO775" s="12"/>
      <c r="BP775" s="12"/>
      <c r="BQ775" s="12"/>
      <c r="BR775" s="12"/>
    </row>
    <row r="776">
      <c r="AB776" s="12"/>
      <c r="AC776" s="12"/>
      <c r="AD776" s="12"/>
      <c r="AE776" s="12"/>
      <c r="AF776" s="12"/>
      <c r="AY776" s="12"/>
      <c r="AZ776" s="12"/>
      <c r="BA776" s="12"/>
      <c r="BB776" s="12"/>
      <c r="BO776" s="12"/>
      <c r="BP776" s="12"/>
      <c r="BQ776" s="12"/>
      <c r="BR776" s="12"/>
    </row>
    <row r="777">
      <c r="AB777" s="12"/>
      <c r="AC777" s="12"/>
      <c r="AD777" s="12"/>
      <c r="AE777" s="12"/>
      <c r="AF777" s="12"/>
      <c r="AY777" s="12"/>
      <c r="AZ777" s="12"/>
      <c r="BA777" s="12"/>
      <c r="BB777" s="12"/>
      <c r="BO777" s="12"/>
      <c r="BP777" s="12"/>
      <c r="BQ777" s="12"/>
      <c r="BR777" s="12"/>
    </row>
    <row r="778">
      <c r="AB778" s="12"/>
      <c r="AC778" s="12"/>
      <c r="AD778" s="12"/>
      <c r="AE778" s="12"/>
      <c r="AF778" s="12"/>
      <c r="AY778" s="12"/>
      <c r="AZ778" s="12"/>
      <c r="BA778" s="12"/>
      <c r="BB778" s="12"/>
      <c r="BO778" s="12"/>
      <c r="BP778" s="12"/>
      <c r="BQ778" s="12"/>
      <c r="BR778" s="12"/>
    </row>
    <row r="779">
      <c r="AB779" s="12"/>
      <c r="AC779" s="12"/>
      <c r="AD779" s="12"/>
      <c r="AE779" s="12"/>
      <c r="AF779" s="12"/>
      <c r="AY779" s="12"/>
      <c r="AZ779" s="12"/>
      <c r="BA779" s="12"/>
      <c r="BB779" s="12"/>
      <c r="BO779" s="12"/>
      <c r="BP779" s="12"/>
      <c r="BQ779" s="12"/>
      <c r="BR779" s="12"/>
    </row>
    <row r="780">
      <c r="AB780" s="12"/>
      <c r="AC780" s="12"/>
      <c r="AD780" s="12"/>
      <c r="AE780" s="12"/>
      <c r="AF780" s="12"/>
      <c r="AY780" s="12"/>
      <c r="AZ780" s="12"/>
      <c r="BA780" s="12"/>
      <c r="BB780" s="12"/>
      <c r="BO780" s="12"/>
      <c r="BP780" s="12"/>
      <c r="BQ780" s="12"/>
      <c r="BR780" s="12"/>
    </row>
    <row r="781">
      <c r="AB781" s="12"/>
      <c r="AC781" s="12"/>
      <c r="AD781" s="12"/>
      <c r="AE781" s="12"/>
      <c r="AF781" s="12"/>
      <c r="AY781" s="12"/>
      <c r="AZ781" s="12"/>
      <c r="BA781" s="12"/>
      <c r="BB781" s="12"/>
      <c r="BO781" s="12"/>
      <c r="BP781" s="12"/>
      <c r="BQ781" s="12"/>
      <c r="BR781" s="12"/>
    </row>
    <row r="782">
      <c r="AB782" s="12"/>
      <c r="AC782" s="12"/>
      <c r="AD782" s="12"/>
      <c r="AE782" s="12"/>
      <c r="AF782" s="12"/>
      <c r="AY782" s="12"/>
      <c r="AZ782" s="12"/>
      <c r="BA782" s="12"/>
      <c r="BB782" s="12"/>
      <c r="BO782" s="12"/>
      <c r="BP782" s="12"/>
      <c r="BQ782" s="12"/>
      <c r="BR782" s="12"/>
    </row>
    <row r="783">
      <c r="AB783" s="12"/>
      <c r="AC783" s="12"/>
      <c r="AD783" s="12"/>
      <c r="AE783" s="12"/>
      <c r="AF783" s="12"/>
      <c r="AY783" s="12"/>
      <c r="AZ783" s="12"/>
      <c r="BA783" s="12"/>
      <c r="BB783" s="12"/>
      <c r="BO783" s="12"/>
      <c r="BP783" s="12"/>
      <c r="BQ783" s="12"/>
      <c r="BR783" s="12"/>
    </row>
    <row r="784">
      <c r="AB784" s="12"/>
      <c r="AC784" s="12"/>
      <c r="AD784" s="12"/>
      <c r="AE784" s="12"/>
      <c r="AF784" s="12"/>
      <c r="AY784" s="12"/>
      <c r="AZ784" s="12"/>
      <c r="BA784" s="12"/>
      <c r="BB784" s="12"/>
      <c r="BO784" s="12"/>
      <c r="BP784" s="12"/>
      <c r="BQ784" s="12"/>
      <c r="BR784" s="12"/>
    </row>
    <row r="785">
      <c r="AB785" s="12"/>
      <c r="AC785" s="12"/>
      <c r="AD785" s="12"/>
      <c r="AE785" s="12"/>
      <c r="AF785" s="12"/>
      <c r="AY785" s="12"/>
      <c r="AZ785" s="12"/>
      <c r="BA785" s="12"/>
      <c r="BB785" s="12"/>
      <c r="BO785" s="12"/>
      <c r="BP785" s="12"/>
      <c r="BQ785" s="12"/>
      <c r="BR785" s="12"/>
    </row>
    <row r="786">
      <c r="AB786" s="12"/>
      <c r="AC786" s="12"/>
      <c r="AD786" s="12"/>
      <c r="AE786" s="12"/>
      <c r="AF786" s="12"/>
      <c r="AY786" s="12"/>
      <c r="AZ786" s="12"/>
      <c r="BA786" s="12"/>
      <c r="BB786" s="12"/>
      <c r="BO786" s="12"/>
      <c r="BP786" s="12"/>
      <c r="BQ786" s="12"/>
      <c r="BR786" s="12"/>
    </row>
    <row r="787">
      <c r="AB787" s="12"/>
      <c r="AC787" s="12"/>
      <c r="AD787" s="12"/>
      <c r="AE787" s="12"/>
      <c r="AF787" s="12"/>
      <c r="AY787" s="12"/>
      <c r="AZ787" s="12"/>
      <c r="BA787" s="12"/>
      <c r="BB787" s="12"/>
      <c r="BO787" s="12"/>
      <c r="BP787" s="12"/>
      <c r="BQ787" s="12"/>
      <c r="BR787" s="12"/>
    </row>
    <row r="788">
      <c r="AB788" s="12"/>
      <c r="AC788" s="12"/>
      <c r="AD788" s="12"/>
      <c r="AE788" s="12"/>
      <c r="AF788" s="12"/>
      <c r="AY788" s="12"/>
      <c r="AZ788" s="12"/>
      <c r="BA788" s="12"/>
      <c r="BB788" s="12"/>
      <c r="BO788" s="12"/>
      <c r="BP788" s="12"/>
      <c r="BQ788" s="12"/>
      <c r="BR788" s="12"/>
    </row>
    <row r="789">
      <c r="AB789" s="12"/>
      <c r="AC789" s="12"/>
      <c r="AD789" s="12"/>
      <c r="AE789" s="12"/>
      <c r="AF789" s="12"/>
      <c r="AY789" s="12"/>
      <c r="AZ789" s="12"/>
      <c r="BA789" s="12"/>
      <c r="BB789" s="12"/>
      <c r="BO789" s="12"/>
      <c r="BP789" s="12"/>
      <c r="BQ789" s="12"/>
      <c r="BR789" s="12"/>
    </row>
    <row r="790">
      <c r="AB790" s="12"/>
      <c r="AC790" s="12"/>
      <c r="AD790" s="12"/>
      <c r="AE790" s="12"/>
      <c r="AF790" s="12"/>
      <c r="AY790" s="12"/>
      <c r="AZ790" s="12"/>
      <c r="BA790" s="12"/>
      <c r="BB790" s="12"/>
      <c r="BO790" s="12"/>
      <c r="BP790" s="12"/>
      <c r="BQ790" s="12"/>
      <c r="BR790" s="12"/>
    </row>
    <row r="791">
      <c r="AB791" s="12"/>
      <c r="AC791" s="12"/>
      <c r="AD791" s="12"/>
      <c r="AE791" s="12"/>
      <c r="AF791" s="12"/>
      <c r="AY791" s="12"/>
      <c r="AZ791" s="12"/>
      <c r="BA791" s="12"/>
      <c r="BB791" s="12"/>
      <c r="BO791" s="12"/>
      <c r="BP791" s="12"/>
      <c r="BQ791" s="12"/>
      <c r="BR791" s="12"/>
    </row>
    <row r="792">
      <c r="AB792" s="12"/>
      <c r="AC792" s="12"/>
      <c r="AD792" s="12"/>
      <c r="AE792" s="12"/>
      <c r="AF792" s="12"/>
      <c r="AY792" s="12"/>
      <c r="AZ792" s="12"/>
      <c r="BA792" s="12"/>
      <c r="BB792" s="12"/>
      <c r="BO792" s="12"/>
      <c r="BP792" s="12"/>
      <c r="BQ792" s="12"/>
      <c r="BR792" s="12"/>
    </row>
    <row r="793">
      <c r="AB793" s="12"/>
      <c r="AC793" s="12"/>
      <c r="AD793" s="12"/>
      <c r="AE793" s="12"/>
      <c r="AF793" s="12"/>
      <c r="AY793" s="12"/>
      <c r="AZ793" s="12"/>
      <c r="BA793" s="12"/>
      <c r="BB793" s="12"/>
      <c r="BO793" s="12"/>
      <c r="BP793" s="12"/>
      <c r="BQ793" s="12"/>
      <c r="BR793" s="12"/>
    </row>
    <row r="794">
      <c r="AB794" s="12"/>
      <c r="AC794" s="12"/>
      <c r="AD794" s="12"/>
      <c r="AE794" s="12"/>
      <c r="AF794" s="12"/>
      <c r="AY794" s="12"/>
      <c r="AZ794" s="12"/>
      <c r="BA794" s="12"/>
      <c r="BB794" s="12"/>
      <c r="BO794" s="12"/>
      <c r="BP794" s="12"/>
      <c r="BQ794" s="12"/>
      <c r="BR794" s="12"/>
    </row>
    <row r="795">
      <c r="AB795" s="12"/>
      <c r="AC795" s="12"/>
      <c r="AD795" s="12"/>
      <c r="AE795" s="12"/>
      <c r="AF795" s="12"/>
      <c r="AY795" s="12"/>
      <c r="AZ795" s="12"/>
      <c r="BA795" s="12"/>
      <c r="BB795" s="12"/>
      <c r="BO795" s="12"/>
      <c r="BP795" s="12"/>
      <c r="BQ795" s="12"/>
      <c r="BR795" s="12"/>
    </row>
    <row r="796">
      <c r="AB796" s="12"/>
      <c r="AC796" s="12"/>
      <c r="AD796" s="12"/>
      <c r="AE796" s="12"/>
      <c r="AF796" s="12"/>
      <c r="AY796" s="12"/>
      <c r="AZ796" s="12"/>
      <c r="BA796" s="12"/>
      <c r="BB796" s="12"/>
      <c r="BO796" s="12"/>
      <c r="BP796" s="12"/>
      <c r="BQ796" s="12"/>
      <c r="BR796" s="12"/>
    </row>
    <row r="797">
      <c r="AB797" s="12"/>
      <c r="AC797" s="12"/>
      <c r="AD797" s="12"/>
      <c r="AE797" s="12"/>
      <c r="AF797" s="12"/>
      <c r="AY797" s="12"/>
      <c r="AZ797" s="12"/>
      <c r="BA797" s="12"/>
      <c r="BB797" s="12"/>
      <c r="BO797" s="12"/>
      <c r="BP797" s="12"/>
      <c r="BQ797" s="12"/>
      <c r="BR797" s="12"/>
    </row>
    <row r="798">
      <c r="AB798" s="12"/>
      <c r="AC798" s="12"/>
      <c r="AD798" s="12"/>
      <c r="AE798" s="12"/>
      <c r="AF798" s="12"/>
      <c r="AY798" s="12"/>
      <c r="AZ798" s="12"/>
      <c r="BA798" s="12"/>
      <c r="BB798" s="12"/>
      <c r="BO798" s="12"/>
      <c r="BP798" s="12"/>
      <c r="BQ798" s="12"/>
      <c r="BR798" s="12"/>
    </row>
    <row r="799">
      <c r="AB799" s="12"/>
      <c r="AC799" s="12"/>
      <c r="AD799" s="12"/>
      <c r="AE799" s="12"/>
      <c r="AF799" s="12"/>
      <c r="AY799" s="12"/>
      <c r="AZ799" s="12"/>
      <c r="BA799" s="12"/>
      <c r="BB799" s="12"/>
      <c r="BO799" s="12"/>
      <c r="BP799" s="12"/>
      <c r="BQ799" s="12"/>
      <c r="BR799" s="12"/>
    </row>
    <row r="800">
      <c r="AB800" s="12"/>
      <c r="AC800" s="12"/>
      <c r="AD800" s="12"/>
      <c r="AE800" s="12"/>
      <c r="AF800" s="12"/>
      <c r="AY800" s="12"/>
      <c r="AZ800" s="12"/>
      <c r="BA800" s="12"/>
      <c r="BB800" s="12"/>
      <c r="BO800" s="12"/>
      <c r="BP800" s="12"/>
      <c r="BQ800" s="12"/>
      <c r="BR800" s="12"/>
    </row>
    <row r="801">
      <c r="AB801" s="12"/>
      <c r="AC801" s="12"/>
      <c r="AD801" s="12"/>
      <c r="AE801" s="12"/>
      <c r="AF801" s="12"/>
      <c r="AY801" s="12"/>
      <c r="AZ801" s="12"/>
      <c r="BA801" s="12"/>
      <c r="BB801" s="12"/>
      <c r="BO801" s="12"/>
      <c r="BP801" s="12"/>
      <c r="BQ801" s="12"/>
      <c r="BR801" s="12"/>
    </row>
    <row r="802">
      <c r="AB802" s="12"/>
      <c r="AC802" s="12"/>
      <c r="AD802" s="12"/>
      <c r="AE802" s="12"/>
      <c r="AF802" s="12"/>
      <c r="AY802" s="12"/>
      <c r="AZ802" s="12"/>
      <c r="BA802" s="12"/>
      <c r="BB802" s="12"/>
      <c r="BO802" s="12"/>
      <c r="BP802" s="12"/>
      <c r="BQ802" s="12"/>
      <c r="BR802" s="12"/>
    </row>
    <row r="803">
      <c r="AB803" s="12"/>
      <c r="AC803" s="12"/>
      <c r="AD803" s="12"/>
      <c r="AE803" s="12"/>
      <c r="AF803" s="12"/>
      <c r="AY803" s="12"/>
      <c r="AZ803" s="12"/>
      <c r="BA803" s="12"/>
      <c r="BB803" s="12"/>
      <c r="BO803" s="12"/>
      <c r="BP803" s="12"/>
      <c r="BQ803" s="12"/>
      <c r="BR803" s="12"/>
    </row>
    <row r="804">
      <c r="AB804" s="12"/>
      <c r="AC804" s="12"/>
      <c r="AD804" s="12"/>
      <c r="AE804" s="12"/>
      <c r="AF804" s="12"/>
      <c r="AY804" s="12"/>
      <c r="AZ804" s="12"/>
      <c r="BA804" s="12"/>
      <c r="BB804" s="12"/>
      <c r="BO804" s="12"/>
      <c r="BP804" s="12"/>
      <c r="BQ804" s="12"/>
      <c r="BR804" s="12"/>
    </row>
    <row r="805">
      <c r="AB805" s="12"/>
      <c r="AC805" s="12"/>
      <c r="AD805" s="12"/>
      <c r="AE805" s="12"/>
      <c r="AF805" s="12"/>
      <c r="AY805" s="12"/>
      <c r="AZ805" s="12"/>
      <c r="BA805" s="12"/>
      <c r="BB805" s="12"/>
      <c r="BO805" s="12"/>
      <c r="BP805" s="12"/>
      <c r="BQ805" s="12"/>
      <c r="BR805" s="12"/>
    </row>
    <row r="806">
      <c r="AB806" s="12"/>
      <c r="AC806" s="12"/>
      <c r="AD806" s="12"/>
      <c r="AE806" s="12"/>
      <c r="AF806" s="12"/>
      <c r="AY806" s="12"/>
      <c r="AZ806" s="12"/>
      <c r="BA806" s="12"/>
      <c r="BB806" s="12"/>
      <c r="BO806" s="12"/>
      <c r="BP806" s="12"/>
      <c r="BQ806" s="12"/>
      <c r="BR806" s="12"/>
    </row>
    <row r="807">
      <c r="AB807" s="12"/>
      <c r="AC807" s="12"/>
      <c r="AD807" s="12"/>
      <c r="AE807" s="12"/>
      <c r="AF807" s="12"/>
      <c r="AY807" s="12"/>
      <c r="AZ807" s="12"/>
      <c r="BA807" s="12"/>
      <c r="BB807" s="12"/>
      <c r="BO807" s="12"/>
      <c r="BP807" s="12"/>
      <c r="BQ807" s="12"/>
      <c r="BR807" s="12"/>
    </row>
    <row r="808">
      <c r="AB808" s="12"/>
      <c r="AC808" s="12"/>
      <c r="AD808" s="12"/>
      <c r="AE808" s="12"/>
      <c r="AF808" s="12"/>
      <c r="AY808" s="12"/>
      <c r="AZ808" s="12"/>
      <c r="BA808" s="12"/>
      <c r="BB808" s="12"/>
      <c r="BO808" s="12"/>
      <c r="BP808" s="12"/>
      <c r="BQ808" s="12"/>
      <c r="BR808" s="12"/>
    </row>
    <row r="809">
      <c r="AB809" s="12"/>
      <c r="AC809" s="12"/>
      <c r="AD809" s="12"/>
      <c r="AE809" s="12"/>
      <c r="AF809" s="12"/>
      <c r="AY809" s="12"/>
      <c r="AZ809" s="12"/>
      <c r="BA809" s="12"/>
      <c r="BB809" s="12"/>
      <c r="BO809" s="12"/>
      <c r="BP809" s="12"/>
      <c r="BQ809" s="12"/>
      <c r="BR809" s="12"/>
    </row>
    <row r="810">
      <c r="AB810" s="12"/>
      <c r="AC810" s="12"/>
      <c r="AD810" s="12"/>
      <c r="AE810" s="12"/>
      <c r="AF810" s="12"/>
      <c r="AY810" s="12"/>
      <c r="AZ810" s="12"/>
      <c r="BA810" s="12"/>
      <c r="BB810" s="12"/>
      <c r="BO810" s="12"/>
      <c r="BP810" s="12"/>
      <c r="BQ810" s="12"/>
      <c r="BR810" s="12"/>
    </row>
    <row r="811">
      <c r="AB811" s="12"/>
      <c r="AC811" s="12"/>
      <c r="AD811" s="12"/>
      <c r="AE811" s="12"/>
      <c r="AF811" s="12"/>
      <c r="AY811" s="12"/>
      <c r="AZ811" s="12"/>
      <c r="BA811" s="12"/>
      <c r="BB811" s="12"/>
      <c r="BO811" s="12"/>
      <c r="BP811" s="12"/>
      <c r="BQ811" s="12"/>
      <c r="BR811" s="12"/>
    </row>
    <row r="812">
      <c r="AB812" s="12"/>
      <c r="AC812" s="12"/>
      <c r="AD812" s="12"/>
      <c r="AE812" s="12"/>
      <c r="AF812" s="12"/>
      <c r="AY812" s="12"/>
      <c r="AZ812" s="12"/>
      <c r="BA812" s="12"/>
      <c r="BB812" s="12"/>
      <c r="BO812" s="12"/>
      <c r="BP812" s="12"/>
      <c r="BQ812" s="12"/>
      <c r="BR812" s="12"/>
    </row>
    <row r="813">
      <c r="AB813" s="12"/>
      <c r="AC813" s="12"/>
      <c r="AD813" s="12"/>
      <c r="AE813" s="12"/>
      <c r="AF813" s="12"/>
      <c r="AY813" s="12"/>
      <c r="AZ813" s="12"/>
      <c r="BA813" s="12"/>
      <c r="BB813" s="12"/>
      <c r="BO813" s="12"/>
      <c r="BP813" s="12"/>
      <c r="BQ813" s="12"/>
      <c r="BR813" s="12"/>
    </row>
    <row r="814">
      <c r="AB814" s="12"/>
      <c r="AC814" s="12"/>
      <c r="AD814" s="12"/>
      <c r="AE814" s="12"/>
      <c r="AF814" s="12"/>
      <c r="AY814" s="12"/>
      <c r="AZ814" s="12"/>
      <c r="BA814" s="12"/>
      <c r="BB814" s="12"/>
      <c r="BO814" s="12"/>
      <c r="BP814" s="12"/>
      <c r="BQ814" s="12"/>
      <c r="BR814" s="12"/>
    </row>
    <row r="815">
      <c r="AB815" s="12"/>
      <c r="AC815" s="12"/>
      <c r="AD815" s="12"/>
      <c r="AE815" s="12"/>
      <c r="AF815" s="12"/>
      <c r="AY815" s="12"/>
      <c r="AZ815" s="12"/>
      <c r="BA815" s="12"/>
      <c r="BB815" s="12"/>
      <c r="BO815" s="12"/>
      <c r="BP815" s="12"/>
      <c r="BQ815" s="12"/>
      <c r="BR815" s="12"/>
    </row>
    <row r="816">
      <c r="AB816" s="12"/>
      <c r="AC816" s="12"/>
      <c r="AD816" s="12"/>
      <c r="AE816" s="12"/>
      <c r="AF816" s="12"/>
      <c r="AY816" s="12"/>
      <c r="AZ816" s="12"/>
      <c r="BA816" s="12"/>
      <c r="BB816" s="12"/>
      <c r="BO816" s="12"/>
      <c r="BP816" s="12"/>
      <c r="BQ816" s="12"/>
      <c r="BR816" s="12"/>
    </row>
    <row r="817">
      <c r="AB817" s="12"/>
      <c r="AC817" s="12"/>
      <c r="AD817" s="12"/>
      <c r="AE817" s="12"/>
      <c r="AF817" s="12"/>
      <c r="AY817" s="12"/>
      <c r="AZ817" s="12"/>
      <c r="BA817" s="12"/>
      <c r="BB817" s="12"/>
      <c r="BO817" s="12"/>
      <c r="BP817" s="12"/>
      <c r="BQ817" s="12"/>
      <c r="BR817" s="12"/>
    </row>
    <row r="818">
      <c r="AB818" s="12"/>
      <c r="AC818" s="12"/>
      <c r="AD818" s="12"/>
      <c r="AE818" s="12"/>
      <c r="AF818" s="12"/>
      <c r="AY818" s="12"/>
      <c r="AZ818" s="12"/>
      <c r="BA818" s="12"/>
      <c r="BB818" s="12"/>
      <c r="BO818" s="12"/>
      <c r="BP818" s="12"/>
      <c r="BQ818" s="12"/>
      <c r="BR818" s="12"/>
    </row>
    <row r="819">
      <c r="AB819" s="12"/>
      <c r="AC819" s="12"/>
      <c r="AD819" s="12"/>
      <c r="AE819" s="12"/>
      <c r="AF819" s="12"/>
      <c r="AY819" s="12"/>
      <c r="AZ819" s="12"/>
      <c r="BA819" s="12"/>
      <c r="BB819" s="12"/>
      <c r="BO819" s="12"/>
      <c r="BP819" s="12"/>
      <c r="BQ819" s="12"/>
      <c r="BR819" s="12"/>
    </row>
    <row r="820">
      <c r="AB820" s="12"/>
      <c r="AC820" s="12"/>
      <c r="AD820" s="12"/>
      <c r="AE820" s="12"/>
      <c r="AF820" s="12"/>
      <c r="AY820" s="12"/>
      <c r="AZ820" s="12"/>
      <c r="BA820" s="12"/>
      <c r="BB820" s="12"/>
      <c r="BO820" s="12"/>
      <c r="BP820" s="12"/>
      <c r="BQ820" s="12"/>
      <c r="BR820" s="12"/>
    </row>
    <row r="821">
      <c r="AB821" s="12"/>
      <c r="AC821" s="12"/>
      <c r="AD821" s="12"/>
      <c r="AE821" s="12"/>
      <c r="AF821" s="12"/>
      <c r="AY821" s="12"/>
      <c r="AZ821" s="12"/>
      <c r="BA821" s="12"/>
      <c r="BB821" s="12"/>
      <c r="BO821" s="12"/>
      <c r="BP821" s="12"/>
      <c r="BQ821" s="12"/>
      <c r="BR821" s="12"/>
    </row>
    <row r="822">
      <c r="AB822" s="12"/>
      <c r="AC822" s="12"/>
      <c r="AD822" s="12"/>
      <c r="AE822" s="12"/>
      <c r="AF822" s="12"/>
      <c r="AY822" s="12"/>
      <c r="AZ822" s="12"/>
      <c r="BA822" s="12"/>
      <c r="BB822" s="12"/>
      <c r="BO822" s="12"/>
      <c r="BP822" s="12"/>
      <c r="BQ822" s="12"/>
      <c r="BR822" s="12"/>
    </row>
    <row r="823">
      <c r="AB823" s="12"/>
      <c r="AC823" s="12"/>
      <c r="AD823" s="12"/>
      <c r="AE823" s="12"/>
      <c r="AF823" s="12"/>
      <c r="AY823" s="12"/>
      <c r="AZ823" s="12"/>
      <c r="BA823" s="12"/>
      <c r="BB823" s="12"/>
      <c r="BO823" s="12"/>
      <c r="BP823" s="12"/>
      <c r="BQ823" s="12"/>
      <c r="BR823" s="12"/>
    </row>
    <row r="824">
      <c r="AB824" s="12"/>
      <c r="AC824" s="12"/>
      <c r="AD824" s="12"/>
      <c r="AE824" s="12"/>
      <c r="AF824" s="12"/>
      <c r="AY824" s="12"/>
      <c r="AZ824" s="12"/>
      <c r="BA824" s="12"/>
      <c r="BB824" s="12"/>
      <c r="BO824" s="12"/>
      <c r="BP824" s="12"/>
      <c r="BQ824" s="12"/>
      <c r="BR824" s="12"/>
    </row>
    <row r="825">
      <c r="AB825" s="12"/>
      <c r="AC825" s="12"/>
      <c r="AD825" s="12"/>
      <c r="AE825" s="12"/>
      <c r="AF825" s="12"/>
      <c r="AY825" s="12"/>
      <c r="AZ825" s="12"/>
      <c r="BA825" s="12"/>
      <c r="BB825" s="12"/>
      <c r="BO825" s="12"/>
      <c r="BP825" s="12"/>
      <c r="BQ825" s="12"/>
      <c r="BR825" s="12"/>
    </row>
    <row r="826">
      <c r="AB826" s="12"/>
      <c r="AC826" s="12"/>
      <c r="AD826" s="12"/>
      <c r="AE826" s="12"/>
      <c r="AF826" s="12"/>
      <c r="AY826" s="12"/>
      <c r="AZ826" s="12"/>
      <c r="BA826" s="12"/>
      <c r="BB826" s="12"/>
      <c r="BO826" s="12"/>
      <c r="BP826" s="12"/>
      <c r="BQ826" s="12"/>
      <c r="BR826" s="12"/>
    </row>
    <row r="827">
      <c r="AB827" s="12"/>
      <c r="AC827" s="12"/>
      <c r="AD827" s="12"/>
      <c r="AE827" s="12"/>
      <c r="AF827" s="12"/>
      <c r="AY827" s="12"/>
      <c r="AZ827" s="12"/>
      <c r="BA827" s="12"/>
      <c r="BB827" s="12"/>
      <c r="BO827" s="12"/>
      <c r="BP827" s="12"/>
      <c r="BQ827" s="12"/>
      <c r="BR827" s="12"/>
    </row>
    <row r="828">
      <c r="AB828" s="12"/>
      <c r="AC828" s="12"/>
      <c r="AD828" s="12"/>
      <c r="AE828" s="12"/>
      <c r="AF828" s="12"/>
      <c r="AY828" s="12"/>
      <c r="AZ828" s="12"/>
      <c r="BA828" s="12"/>
      <c r="BB828" s="12"/>
      <c r="BO828" s="12"/>
      <c r="BP828" s="12"/>
      <c r="BQ828" s="12"/>
      <c r="BR828" s="12"/>
    </row>
    <row r="829">
      <c r="AB829" s="12"/>
      <c r="AC829" s="12"/>
      <c r="AD829" s="12"/>
      <c r="AE829" s="12"/>
      <c r="AF829" s="12"/>
      <c r="AY829" s="12"/>
      <c r="AZ829" s="12"/>
      <c r="BA829" s="12"/>
      <c r="BB829" s="12"/>
      <c r="BO829" s="12"/>
      <c r="BP829" s="12"/>
      <c r="BQ829" s="12"/>
      <c r="BR829" s="12"/>
    </row>
    <row r="830">
      <c r="AB830" s="12"/>
      <c r="AC830" s="12"/>
      <c r="AD830" s="12"/>
      <c r="AE830" s="12"/>
      <c r="AF830" s="12"/>
      <c r="AY830" s="12"/>
      <c r="AZ830" s="12"/>
      <c r="BA830" s="12"/>
      <c r="BB830" s="12"/>
      <c r="BO830" s="12"/>
      <c r="BP830" s="12"/>
      <c r="BQ830" s="12"/>
      <c r="BR830" s="12"/>
    </row>
    <row r="831">
      <c r="AB831" s="12"/>
      <c r="AC831" s="12"/>
      <c r="AD831" s="12"/>
      <c r="AE831" s="12"/>
      <c r="AF831" s="12"/>
      <c r="AY831" s="12"/>
      <c r="AZ831" s="12"/>
      <c r="BA831" s="12"/>
      <c r="BB831" s="12"/>
      <c r="BO831" s="12"/>
      <c r="BP831" s="12"/>
      <c r="BQ831" s="12"/>
      <c r="BR831" s="12"/>
    </row>
    <row r="832">
      <c r="AB832" s="12"/>
      <c r="AC832" s="12"/>
      <c r="AD832" s="12"/>
      <c r="AE832" s="12"/>
      <c r="AF832" s="12"/>
      <c r="AY832" s="12"/>
      <c r="AZ832" s="12"/>
      <c r="BA832" s="12"/>
      <c r="BB832" s="12"/>
      <c r="BO832" s="12"/>
      <c r="BP832" s="12"/>
      <c r="BQ832" s="12"/>
      <c r="BR832" s="12"/>
    </row>
    <row r="833">
      <c r="AB833" s="12"/>
      <c r="AC833" s="12"/>
      <c r="AD833" s="12"/>
      <c r="AE833" s="12"/>
      <c r="AF833" s="12"/>
      <c r="AY833" s="12"/>
      <c r="AZ833" s="12"/>
      <c r="BA833" s="12"/>
      <c r="BB833" s="12"/>
      <c r="BO833" s="12"/>
      <c r="BP833" s="12"/>
      <c r="BQ833" s="12"/>
      <c r="BR833" s="12"/>
    </row>
    <row r="834">
      <c r="AB834" s="12"/>
      <c r="AC834" s="12"/>
      <c r="AD834" s="12"/>
      <c r="AE834" s="12"/>
      <c r="AF834" s="12"/>
      <c r="AY834" s="12"/>
      <c r="AZ834" s="12"/>
      <c r="BA834" s="12"/>
      <c r="BB834" s="12"/>
      <c r="BO834" s="12"/>
      <c r="BP834" s="12"/>
      <c r="BQ834" s="12"/>
      <c r="BR834" s="12"/>
    </row>
    <row r="835">
      <c r="AB835" s="12"/>
      <c r="AC835" s="12"/>
      <c r="AD835" s="12"/>
      <c r="AE835" s="12"/>
      <c r="AF835" s="12"/>
      <c r="AY835" s="12"/>
      <c r="AZ835" s="12"/>
      <c r="BA835" s="12"/>
      <c r="BB835" s="12"/>
      <c r="BO835" s="12"/>
      <c r="BP835" s="12"/>
      <c r="BQ835" s="12"/>
      <c r="BR835" s="12"/>
    </row>
    <row r="836">
      <c r="AB836" s="12"/>
      <c r="AC836" s="12"/>
      <c r="AD836" s="12"/>
      <c r="AE836" s="12"/>
      <c r="AF836" s="12"/>
      <c r="AY836" s="12"/>
      <c r="AZ836" s="12"/>
      <c r="BA836" s="12"/>
      <c r="BB836" s="12"/>
      <c r="BO836" s="12"/>
      <c r="BP836" s="12"/>
      <c r="BQ836" s="12"/>
      <c r="BR836" s="12"/>
    </row>
    <row r="837">
      <c r="AB837" s="12"/>
      <c r="AC837" s="12"/>
      <c r="AD837" s="12"/>
      <c r="AE837" s="12"/>
      <c r="AF837" s="12"/>
      <c r="AY837" s="12"/>
      <c r="AZ837" s="12"/>
      <c r="BA837" s="12"/>
      <c r="BB837" s="12"/>
      <c r="BO837" s="12"/>
      <c r="BP837" s="12"/>
      <c r="BQ837" s="12"/>
      <c r="BR837" s="12"/>
    </row>
    <row r="838">
      <c r="AB838" s="12"/>
      <c r="AC838" s="12"/>
      <c r="AD838" s="12"/>
      <c r="AE838" s="12"/>
      <c r="AF838" s="12"/>
      <c r="AY838" s="12"/>
      <c r="AZ838" s="12"/>
      <c r="BA838" s="12"/>
      <c r="BB838" s="12"/>
      <c r="BO838" s="12"/>
      <c r="BP838" s="12"/>
      <c r="BQ838" s="12"/>
      <c r="BR838" s="12"/>
    </row>
    <row r="839">
      <c r="AB839" s="12"/>
      <c r="AC839" s="12"/>
      <c r="AD839" s="12"/>
      <c r="AE839" s="12"/>
      <c r="AF839" s="12"/>
      <c r="AY839" s="12"/>
      <c r="AZ839" s="12"/>
      <c r="BA839" s="12"/>
      <c r="BB839" s="12"/>
      <c r="BO839" s="12"/>
      <c r="BP839" s="12"/>
      <c r="BQ839" s="12"/>
      <c r="BR839" s="12"/>
    </row>
    <row r="840">
      <c r="AB840" s="12"/>
      <c r="AC840" s="12"/>
      <c r="AD840" s="12"/>
      <c r="AE840" s="12"/>
      <c r="AF840" s="12"/>
      <c r="AY840" s="12"/>
      <c r="AZ840" s="12"/>
      <c r="BA840" s="12"/>
      <c r="BB840" s="12"/>
      <c r="BO840" s="12"/>
      <c r="BP840" s="12"/>
      <c r="BQ840" s="12"/>
      <c r="BR840" s="12"/>
    </row>
    <row r="841">
      <c r="AB841" s="12"/>
      <c r="AC841" s="12"/>
      <c r="AD841" s="12"/>
      <c r="AE841" s="12"/>
      <c r="AF841" s="12"/>
      <c r="AY841" s="12"/>
      <c r="AZ841" s="12"/>
      <c r="BA841" s="12"/>
      <c r="BB841" s="12"/>
      <c r="BO841" s="12"/>
      <c r="BP841" s="12"/>
      <c r="BQ841" s="12"/>
      <c r="BR841" s="12"/>
    </row>
    <row r="842">
      <c r="AB842" s="12"/>
      <c r="AC842" s="12"/>
      <c r="AD842" s="12"/>
      <c r="AE842" s="12"/>
      <c r="AF842" s="12"/>
      <c r="AY842" s="12"/>
      <c r="AZ842" s="12"/>
      <c r="BA842" s="12"/>
      <c r="BB842" s="12"/>
      <c r="BO842" s="12"/>
      <c r="BP842" s="12"/>
      <c r="BQ842" s="12"/>
      <c r="BR842" s="12"/>
    </row>
    <row r="843">
      <c r="AB843" s="12"/>
      <c r="AC843" s="12"/>
      <c r="AD843" s="12"/>
      <c r="AE843" s="12"/>
      <c r="AF843" s="12"/>
      <c r="AY843" s="12"/>
      <c r="AZ843" s="12"/>
      <c r="BA843" s="12"/>
      <c r="BB843" s="12"/>
      <c r="BO843" s="12"/>
      <c r="BP843" s="12"/>
      <c r="BQ843" s="12"/>
      <c r="BR843" s="12"/>
    </row>
    <row r="844">
      <c r="AB844" s="12"/>
      <c r="AC844" s="12"/>
      <c r="AD844" s="12"/>
      <c r="AE844" s="12"/>
      <c r="AF844" s="12"/>
      <c r="AY844" s="12"/>
      <c r="AZ844" s="12"/>
      <c r="BA844" s="12"/>
      <c r="BB844" s="12"/>
      <c r="BO844" s="12"/>
      <c r="BP844" s="12"/>
      <c r="BQ844" s="12"/>
      <c r="BR844" s="12"/>
    </row>
    <row r="845">
      <c r="AB845" s="12"/>
      <c r="AC845" s="12"/>
      <c r="AD845" s="12"/>
      <c r="AE845" s="12"/>
      <c r="AF845" s="12"/>
      <c r="AY845" s="12"/>
      <c r="AZ845" s="12"/>
      <c r="BA845" s="12"/>
      <c r="BB845" s="12"/>
      <c r="BO845" s="12"/>
      <c r="BP845" s="12"/>
      <c r="BQ845" s="12"/>
      <c r="BR845" s="12"/>
    </row>
    <row r="846">
      <c r="AB846" s="12"/>
      <c r="AC846" s="12"/>
      <c r="AD846" s="12"/>
      <c r="AE846" s="12"/>
      <c r="AF846" s="12"/>
      <c r="AY846" s="12"/>
      <c r="AZ846" s="12"/>
      <c r="BA846" s="12"/>
      <c r="BB846" s="12"/>
      <c r="BO846" s="12"/>
      <c r="BP846" s="12"/>
      <c r="BQ846" s="12"/>
      <c r="BR846" s="12"/>
    </row>
    <row r="847">
      <c r="AB847" s="12"/>
      <c r="AC847" s="12"/>
      <c r="AD847" s="12"/>
      <c r="AE847" s="12"/>
      <c r="AF847" s="12"/>
      <c r="AY847" s="12"/>
      <c r="AZ847" s="12"/>
      <c r="BA847" s="12"/>
      <c r="BB847" s="12"/>
      <c r="BO847" s="12"/>
      <c r="BP847" s="12"/>
      <c r="BQ847" s="12"/>
      <c r="BR847" s="12"/>
    </row>
    <row r="848">
      <c r="AB848" s="12"/>
      <c r="AC848" s="12"/>
      <c r="AD848" s="12"/>
      <c r="AE848" s="12"/>
      <c r="AF848" s="12"/>
      <c r="AY848" s="12"/>
      <c r="AZ848" s="12"/>
      <c r="BA848" s="12"/>
      <c r="BB848" s="12"/>
      <c r="BO848" s="12"/>
      <c r="BP848" s="12"/>
      <c r="BQ848" s="12"/>
      <c r="BR848" s="12"/>
    </row>
    <row r="849">
      <c r="AB849" s="12"/>
      <c r="AC849" s="12"/>
      <c r="AD849" s="12"/>
      <c r="AE849" s="12"/>
      <c r="AF849" s="12"/>
      <c r="AY849" s="12"/>
      <c r="AZ849" s="12"/>
      <c r="BA849" s="12"/>
      <c r="BB849" s="12"/>
      <c r="BO849" s="12"/>
      <c r="BP849" s="12"/>
      <c r="BQ849" s="12"/>
      <c r="BR849" s="12"/>
    </row>
    <row r="850">
      <c r="AB850" s="12"/>
      <c r="AC850" s="12"/>
      <c r="AD850" s="12"/>
      <c r="AE850" s="12"/>
      <c r="AF850" s="12"/>
      <c r="AY850" s="12"/>
      <c r="AZ850" s="12"/>
      <c r="BA850" s="12"/>
      <c r="BB850" s="12"/>
      <c r="BO850" s="12"/>
      <c r="BP850" s="12"/>
      <c r="BQ850" s="12"/>
      <c r="BR850" s="12"/>
    </row>
    <row r="851">
      <c r="AB851" s="12"/>
      <c r="AC851" s="12"/>
      <c r="AD851" s="12"/>
      <c r="AE851" s="12"/>
      <c r="AF851" s="12"/>
      <c r="AY851" s="12"/>
      <c r="AZ851" s="12"/>
      <c r="BA851" s="12"/>
      <c r="BB851" s="12"/>
      <c r="BO851" s="12"/>
      <c r="BP851" s="12"/>
      <c r="BQ851" s="12"/>
      <c r="BR851" s="12"/>
    </row>
    <row r="852">
      <c r="AB852" s="12"/>
      <c r="AC852" s="12"/>
      <c r="AD852" s="12"/>
      <c r="AE852" s="12"/>
      <c r="AF852" s="12"/>
      <c r="AY852" s="12"/>
      <c r="AZ852" s="12"/>
      <c r="BA852" s="12"/>
      <c r="BB852" s="12"/>
      <c r="BO852" s="12"/>
      <c r="BP852" s="12"/>
      <c r="BQ852" s="12"/>
      <c r="BR852" s="12"/>
    </row>
    <row r="853">
      <c r="AB853" s="12"/>
      <c r="AC853" s="12"/>
      <c r="AD853" s="12"/>
      <c r="AE853" s="12"/>
      <c r="AF853" s="12"/>
      <c r="AY853" s="12"/>
      <c r="AZ853" s="12"/>
      <c r="BA853" s="12"/>
      <c r="BB853" s="12"/>
      <c r="BO853" s="12"/>
      <c r="BP853" s="12"/>
      <c r="BQ853" s="12"/>
      <c r="BR853" s="12"/>
    </row>
    <row r="854">
      <c r="AB854" s="12"/>
      <c r="AC854" s="12"/>
      <c r="AD854" s="12"/>
      <c r="AE854" s="12"/>
      <c r="AF854" s="12"/>
      <c r="AY854" s="12"/>
      <c r="AZ854" s="12"/>
      <c r="BA854" s="12"/>
      <c r="BB854" s="12"/>
      <c r="BO854" s="12"/>
      <c r="BP854" s="12"/>
      <c r="BQ854" s="12"/>
      <c r="BR854" s="12"/>
    </row>
    <row r="855">
      <c r="AB855" s="12"/>
      <c r="AC855" s="12"/>
      <c r="AD855" s="12"/>
      <c r="AE855" s="12"/>
      <c r="AF855" s="12"/>
      <c r="AY855" s="12"/>
      <c r="AZ855" s="12"/>
      <c r="BA855" s="12"/>
      <c r="BB855" s="12"/>
      <c r="BO855" s="12"/>
      <c r="BP855" s="12"/>
      <c r="BQ855" s="12"/>
      <c r="BR855" s="12"/>
    </row>
    <row r="856">
      <c r="AB856" s="12"/>
      <c r="AC856" s="12"/>
      <c r="AD856" s="12"/>
      <c r="AE856" s="12"/>
      <c r="AF856" s="12"/>
      <c r="AY856" s="12"/>
      <c r="AZ856" s="12"/>
      <c r="BA856" s="12"/>
      <c r="BB856" s="12"/>
      <c r="BO856" s="12"/>
      <c r="BP856" s="12"/>
      <c r="BQ856" s="12"/>
      <c r="BR856" s="12"/>
    </row>
    <row r="857">
      <c r="AB857" s="12"/>
      <c r="AC857" s="12"/>
      <c r="AD857" s="12"/>
      <c r="AE857" s="12"/>
      <c r="AF857" s="12"/>
      <c r="AY857" s="12"/>
      <c r="AZ857" s="12"/>
      <c r="BA857" s="12"/>
      <c r="BB857" s="12"/>
      <c r="BO857" s="12"/>
      <c r="BP857" s="12"/>
      <c r="BQ857" s="12"/>
      <c r="BR857" s="12"/>
    </row>
    <row r="858">
      <c r="AB858" s="12"/>
      <c r="AC858" s="12"/>
      <c r="AD858" s="12"/>
      <c r="AE858" s="12"/>
      <c r="AF858" s="12"/>
      <c r="AY858" s="12"/>
      <c r="AZ858" s="12"/>
      <c r="BA858" s="12"/>
      <c r="BB858" s="12"/>
      <c r="BO858" s="12"/>
      <c r="BP858" s="12"/>
      <c r="BQ858" s="12"/>
      <c r="BR858" s="12"/>
    </row>
    <row r="859">
      <c r="AB859" s="12"/>
      <c r="AC859" s="12"/>
      <c r="AD859" s="12"/>
      <c r="AE859" s="12"/>
      <c r="AF859" s="12"/>
      <c r="AY859" s="12"/>
      <c r="AZ859" s="12"/>
      <c r="BA859" s="12"/>
      <c r="BB859" s="12"/>
      <c r="BO859" s="12"/>
      <c r="BP859" s="12"/>
      <c r="BQ859" s="12"/>
      <c r="BR859" s="12"/>
    </row>
    <row r="860">
      <c r="AB860" s="12"/>
      <c r="AC860" s="12"/>
      <c r="AD860" s="12"/>
      <c r="AE860" s="12"/>
      <c r="AF860" s="12"/>
      <c r="AY860" s="12"/>
      <c r="AZ860" s="12"/>
      <c r="BA860" s="12"/>
      <c r="BB860" s="12"/>
      <c r="BO860" s="12"/>
      <c r="BP860" s="12"/>
      <c r="BQ860" s="12"/>
      <c r="BR860" s="12"/>
    </row>
    <row r="861">
      <c r="AB861" s="12"/>
      <c r="AC861" s="12"/>
      <c r="AD861" s="12"/>
      <c r="AE861" s="12"/>
      <c r="AF861" s="12"/>
      <c r="AY861" s="12"/>
      <c r="AZ861" s="12"/>
      <c r="BA861" s="12"/>
      <c r="BB861" s="12"/>
      <c r="BO861" s="12"/>
      <c r="BP861" s="12"/>
      <c r="BQ861" s="12"/>
      <c r="BR861" s="12"/>
    </row>
    <row r="862">
      <c r="AB862" s="12"/>
      <c r="AC862" s="12"/>
      <c r="AD862" s="12"/>
      <c r="AE862" s="12"/>
      <c r="AF862" s="12"/>
      <c r="AY862" s="12"/>
      <c r="AZ862" s="12"/>
      <c r="BA862" s="12"/>
      <c r="BB862" s="12"/>
      <c r="BO862" s="12"/>
      <c r="BP862" s="12"/>
      <c r="BQ862" s="12"/>
      <c r="BR862" s="12"/>
    </row>
    <row r="863">
      <c r="AB863" s="12"/>
      <c r="AC863" s="12"/>
      <c r="AD863" s="12"/>
      <c r="AE863" s="12"/>
      <c r="AF863" s="12"/>
      <c r="AY863" s="12"/>
      <c r="AZ863" s="12"/>
      <c r="BA863" s="12"/>
      <c r="BB863" s="12"/>
      <c r="BO863" s="12"/>
      <c r="BP863" s="12"/>
      <c r="BQ863" s="12"/>
      <c r="BR863" s="12"/>
    </row>
    <row r="864">
      <c r="AB864" s="12"/>
      <c r="AC864" s="12"/>
      <c r="AD864" s="12"/>
      <c r="AE864" s="12"/>
      <c r="AF864" s="12"/>
      <c r="AY864" s="12"/>
      <c r="AZ864" s="12"/>
      <c r="BA864" s="12"/>
      <c r="BB864" s="12"/>
      <c r="BO864" s="12"/>
      <c r="BP864" s="12"/>
      <c r="BQ864" s="12"/>
      <c r="BR864" s="12"/>
    </row>
    <row r="865">
      <c r="AB865" s="12"/>
      <c r="AC865" s="12"/>
      <c r="AD865" s="12"/>
      <c r="AE865" s="12"/>
      <c r="AF865" s="12"/>
      <c r="AY865" s="12"/>
      <c r="AZ865" s="12"/>
      <c r="BA865" s="12"/>
      <c r="BB865" s="12"/>
      <c r="BO865" s="12"/>
      <c r="BP865" s="12"/>
      <c r="BQ865" s="12"/>
      <c r="BR865" s="12"/>
    </row>
    <row r="866">
      <c r="AB866" s="12"/>
      <c r="AC866" s="12"/>
      <c r="AD866" s="12"/>
      <c r="AE866" s="12"/>
      <c r="AF866" s="12"/>
      <c r="AY866" s="12"/>
      <c r="AZ866" s="12"/>
      <c r="BA866" s="12"/>
      <c r="BB866" s="12"/>
      <c r="BO866" s="12"/>
      <c r="BP866" s="12"/>
      <c r="BQ866" s="12"/>
      <c r="BR866" s="12"/>
    </row>
    <row r="867">
      <c r="AB867" s="12"/>
      <c r="AC867" s="12"/>
      <c r="AD867" s="12"/>
      <c r="AE867" s="12"/>
      <c r="AF867" s="12"/>
      <c r="AY867" s="12"/>
      <c r="AZ867" s="12"/>
      <c r="BA867" s="12"/>
      <c r="BB867" s="12"/>
      <c r="BO867" s="12"/>
      <c r="BP867" s="12"/>
      <c r="BQ867" s="12"/>
      <c r="BR867" s="12"/>
    </row>
    <row r="868">
      <c r="AB868" s="12"/>
      <c r="AC868" s="12"/>
      <c r="AD868" s="12"/>
      <c r="AE868" s="12"/>
      <c r="AF868" s="12"/>
      <c r="AY868" s="12"/>
      <c r="AZ868" s="12"/>
      <c r="BA868" s="12"/>
      <c r="BB868" s="12"/>
      <c r="BO868" s="12"/>
      <c r="BP868" s="12"/>
      <c r="BQ868" s="12"/>
      <c r="BR868" s="12"/>
    </row>
    <row r="869">
      <c r="AB869" s="12"/>
      <c r="AC869" s="12"/>
      <c r="AD869" s="12"/>
      <c r="AE869" s="12"/>
      <c r="AF869" s="12"/>
      <c r="AY869" s="12"/>
      <c r="AZ869" s="12"/>
      <c r="BA869" s="12"/>
      <c r="BB869" s="12"/>
      <c r="BO869" s="12"/>
      <c r="BP869" s="12"/>
      <c r="BQ869" s="12"/>
      <c r="BR869" s="12"/>
    </row>
    <row r="870">
      <c r="AB870" s="12"/>
      <c r="AC870" s="12"/>
      <c r="AD870" s="12"/>
      <c r="AE870" s="12"/>
      <c r="AF870" s="12"/>
      <c r="AY870" s="12"/>
      <c r="AZ870" s="12"/>
      <c r="BA870" s="12"/>
      <c r="BB870" s="12"/>
      <c r="BO870" s="12"/>
      <c r="BP870" s="12"/>
      <c r="BQ870" s="12"/>
      <c r="BR870" s="12"/>
    </row>
    <row r="871">
      <c r="AB871" s="12"/>
      <c r="AC871" s="12"/>
      <c r="AD871" s="12"/>
      <c r="AE871" s="12"/>
      <c r="AF871" s="12"/>
      <c r="AY871" s="12"/>
      <c r="AZ871" s="12"/>
      <c r="BA871" s="12"/>
      <c r="BB871" s="12"/>
      <c r="BO871" s="12"/>
      <c r="BP871" s="12"/>
      <c r="BQ871" s="12"/>
      <c r="BR871" s="12"/>
    </row>
    <row r="872">
      <c r="AB872" s="12"/>
      <c r="AC872" s="12"/>
      <c r="AD872" s="12"/>
      <c r="AE872" s="12"/>
      <c r="AF872" s="12"/>
      <c r="AY872" s="12"/>
      <c r="AZ872" s="12"/>
      <c r="BA872" s="12"/>
      <c r="BB872" s="12"/>
      <c r="BO872" s="12"/>
      <c r="BP872" s="12"/>
      <c r="BQ872" s="12"/>
      <c r="BR872" s="12"/>
    </row>
    <row r="873">
      <c r="AB873" s="12"/>
      <c r="AC873" s="12"/>
      <c r="AD873" s="12"/>
      <c r="AE873" s="12"/>
      <c r="AF873" s="12"/>
      <c r="AY873" s="12"/>
      <c r="AZ873" s="12"/>
      <c r="BA873" s="12"/>
      <c r="BB873" s="12"/>
      <c r="BO873" s="12"/>
      <c r="BP873" s="12"/>
      <c r="BQ873" s="12"/>
      <c r="BR873" s="12"/>
    </row>
    <row r="874">
      <c r="AB874" s="12"/>
      <c r="AC874" s="12"/>
      <c r="AD874" s="12"/>
      <c r="AE874" s="12"/>
      <c r="AF874" s="12"/>
      <c r="AY874" s="12"/>
      <c r="AZ874" s="12"/>
      <c r="BA874" s="12"/>
      <c r="BB874" s="12"/>
      <c r="BO874" s="12"/>
      <c r="BP874" s="12"/>
      <c r="BQ874" s="12"/>
      <c r="BR874" s="12"/>
    </row>
    <row r="875">
      <c r="AB875" s="12"/>
      <c r="AC875" s="12"/>
      <c r="AD875" s="12"/>
      <c r="AE875" s="12"/>
      <c r="AF875" s="12"/>
      <c r="AY875" s="12"/>
      <c r="AZ875" s="12"/>
      <c r="BA875" s="12"/>
      <c r="BB875" s="12"/>
      <c r="BO875" s="12"/>
      <c r="BP875" s="12"/>
      <c r="BQ875" s="12"/>
      <c r="BR875" s="12"/>
    </row>
    <row r="876">
      <c r="AB876" s="12"/>
      <c r="AC876" s="12"/>
      <c r="AD876" s="12"/>
      <c r="AE876" s="12"/>
      <c r="AF876" s="12"/>
      <c r="AY876" s="12"/>
      <c r="AZ876" s="12"/>
      <c r="BA876" s="12"/>
      <c r="BB876" s="12"/>
      <c r="BO876" s="12"/>
      <c r="BP876" s="12"/>
      <c r="BQ876" s="12"/>
      <c r="BR876" s="12"/>
    </row>
    <row r="877">
      <c r="AB877" s="12"/>
      <c r="AC877" s="12"/>
      <c r="AD877" s="12"/>
      <c r="AE877" s="12"/>
      <c r="AF877" s="12"/>
      <c r="AY877" s="12"/>
      <c r="AZ877" s="12"/>
      <c r="BA877" s="12"/>
      <c r="BB877" s="12"/>
      <c r="BO877" s="12"/>
      <c r="BP877" s="12"/>
      <c r="BQ877" s="12"/>
      <c r="BR877" s="12"/>
    </row>
    <row r="878">
      <c r="AB878" s="12"/>
      <c r="AC878" s="12"/>
      <c r="AD878" s="12"/>
      <c r="AE878" s="12"/>
      <c r="AF878" s="12"/>
      <c r="AY878" s="12"/>
      <c r="AZ878" s="12"/>
      <c r="BA878" s="12"/>
      <c r="BB878" s="12"/>
      <c r="BO878" s="12"/>
      <c r="BP878" s="12"/>
      <c r="BQ878" s="12"/>
      <c r="BR878" s="12"/>
    </row>
    <row r="879">
      <c r="AB879" s="12"/>
      <c r="AC879" s="12"/>
      <c r="AD879" s="12"/>
      <c r="AE879" s="12"/>
      <c r="AF879" s="12"/>
      <c r="AY879" s="12"/>
      <c r="AZ879" s="12"/>
      <c r="BA879" s="12"/>
      <c r="BB879" s="12"/>
      <c r="BO879" s="12"/>
      <c r="BP879" s="12"/>
      <c r="BQ879" s="12"/>
      <c r="BR879" s="12"/>
    </row>
    <row r="880">
      <c r="AB880" s="12"/>
      <c r="AC880" s="12"/>
      <c r="AD880" s="12"/>
      <c r="AE880" s="12"/>
      <c r="AF880" s="12"/>
      <c r="AY880" s="12"/>
      <c r="AZ880" s="12"/>
      <c r="BA880" s="12"/>
      <c r="BB880" s="12"/>
      <c r="BO880" s="12"/>
      <c r="BP880" s="12"/>
      <c r="BQ880" s="12"/>
      <c r="BR880" s="12"/>
    </row>
    <row r="881">
      <c r="AB881" s="12"/>
      <c r="AC881" s="12"/>
      <c r="AD881" s="12"/>
      <c r="AE881" s="12"/>
      <c r="AF881" s="12"/>
      <c r="AY881" s="12"/>
      <c r="AZ881" s="12"/>
      <c r="BA881" s="12"/>
      <c r="BB881" s="12"/>
      <c r="BO881" s="12"/>
      <c r="BP881" s="12"/>
      <c r="BQ881" s="12"/>
      <c r="BR881" s="12"/>
    </row>
    <row r="882">
      <c r="AB882" s="12"/>
      <c r="AC882" s="12"/>
      <c r="AD882" s="12"/>
      <c r="AE882" s="12"/>
      <c r="AF882" s="12"/>
      <c r="AY882" s="12"/>
      <c r="AZ882" s="12"/>
      <c r="BA882" s="12"/>
      <c r="BB882" s="12"/>
      <c r="BO882" s="12"/>
      <c r="BP882" s="12"/>
      <c r="BQ882" s="12"/>
      <c r="BR882" s="12"/>
    </row>
    <row r="883">
      <c r="AB883" s="12"/>
      <c r="AC883" s="12"/>
      <c r="AD883" s="12"/>
      <c r="AE883" s="12"/>
      <c r="AF883" s="12"/>
      <c r="AY883" s="12"/>
      <c r="AZ883" s="12"/>
      <c r="BA883" s="12"/>
      <c r="BB883" s="12"/>
      <c r="BO883" s="12"/>
      <c r="BP883" s="12"/>
      <c r="BQ883" s="12"/>
      <c r="BR883" s="12"/>
    </row>
    <row r="884">
      <c r="AB884" s="12"/>
      <c r="AC884" s="12"/>
      <c r="AD884" s="12"/>
      <c r="AE884" s="12"/>
      <c r="AF884" s="12"/>
      <c r="AY884" s="12"/>
      <c r="AZ884" s="12"/>
      <c r="BA884" s="12"/>
      <c r="BB884" s="12"/>
      <c r="BO884" s="12"/>
      <c r="BP884" s="12"/>
      <c r="BQ884" s="12"/>
      <c r="BR884" s="12"/>
    </row>
    <row r="885">
      <c r="AB885" s="12"/>
      <c r="AC885" s="12"/>
      <c r="AD885" s="12"/>
      <c r="AE885" s="12"/>
      <c r="AF885" s="12"/>
      <c r="AY885" s="12"/>
      <c r="AZ885" s="12"/>
      <c r="BA885" s="12"/>
      <c r="BB885" s="12"/>
      <c r="BO885" s="12"/>
      <c r="BP885" s="12"/>
      <c r="BQ885" s="12"/>
      <c r="BR885" s="12"/>
    </row>
    <row r="886">
      <c r="AB886" s="12"/>
      <c r="AC886" s="12"/>
      <c r="AD886" s="12"/>
      <c r="AE886" s="12"/>
      <c r="AF886" s="12"/>
      <c r="AY886" s="12"/>
      <c r="AZ886" s="12"/>
      <c r="BA886" s="12"/>
      <c r="BB886" s="12"/>
      <c r="BO886" s="12"/>
      <c r="BP886" s="12"/>
      <c r="BQ886" s="12"/>
      <c r="BR886" s="12"/>
    </row>
    <row r="887">
      <c r="AB887" s="12"/>
      <c r="AC887" s="12"/>
      <c r="AD887" s="12"/>
      <c r="AE887" s="12"/>
      <c r="AF887" s="12"/>
      <c r="AY887" s="12"/>
      <c r="AZ887" s="12"/>
      <c r="BA887" s="12"/>
      <c r="BB887" s="12"/>
      <c r="BO887" s="12"/>
      <c r="BP887" s="12"/>
      <c r="BQ887" s="12"/>
      <c r="BR887" s="12"/>
    </row>
    <row r="888">
      <c r="AB888" s="12"/>
      <c r="AC888" s="12"/>
      <c r="AD888" s="12"/>
      <c r="AE888" s="12"/>
      <c r="AF888" s="12"/>
      <c r="AY888" s="12"/>
      <c r="AZ888" s="12"/>
      <c r="BA888" s="12"/>
      <c r="BB888" s="12"/>
      <c r="BO888" s="12"/>
      <c r="BP888" s="12"/>
      <c r="BQ888" s="12"/>
      <c r="BR888" s="12"/>
    </row>
    <row r="889">
      <c r="AB889" s="12"/>
      <c r="AC889" s="12"/>
      <c r="AD889" s="12"/>
      <c r="AE889" s="12"/>
      <c r="AF889" s="12"/>
      <c r="AY889" s="12"/>
      <c r="AZ889" s="12"/>
      <c r="BA889" s="12"/>
      <c r="BB889" s="12"/>
      <c r="BO889" s="12"/>
      <c r="BP889" s="12"/>
      <c r="BQ889" s="12"/>
      <c r="BR889" s="12"/>
    </row>
    <row r="890">
      <c r="AB890" s="12"/>
      <c r="AC890" s="12"/>
      <c r="AD890" s="12"/>
      <c r="AE890" s="12"/>
      <c r="AF890" s="12"/>
      <c r="AY890" s="12"/>
      <c r="AZ890" s="12"/>
      <c r="BA890" s="12"/>
      <c r="BB890" s="12"/>
      <c r="BO890" s="12"/>
      <c r="BP890" s="12"/>
      <c r="BQ890" s="12"/>
      <c r="BR890" s="12"/>
    </row>
    <row r="891">
      <c r="AB891" s="12"/>
      <c r="AC891" s="12"/>
      <c r="AD891" s="12"/>
      <c r="AE891" s="12"/>
      <c r="AF891" s="12"/>
      <c r="AY891" s="12"/>
      <c r="AZ891" s="12"/>
      <c r="BA891" s="12"/>
      <c r="BB891" s="12"/>
      <c r="BO891" s="12"/>
      <c r="BP891" s="12"/>
      <c r="BQ891" s="12"/>
      <c r="BR891" s="12"/>
    </row>
    <row r="892">
      <c r="AB892" s="12"/>
      <c r="AC892" s="12"/>
      <c r="AD892" s="12"/>
      <c r="AE892" s="12"/>
      <c r="AF892" s="12"/>
      <c r="AY892" s="12"/>
      <c r="AZ892" s="12"/>
      <c r="BA892" s="12"/>
      <c r="BB892" s="12"/>
      <c r="BO892" s="12"/>
      <c r="BP892" s="12"/>
      <c r="BQ892" s="12"/>
      <c r="BR892" s="12"/>
    </row>
    <row r="893">
      <c r="AB893" s="12"/>
      <c r="AC893" s="12"/>
      <c r="AD893" s="12"/>
      <c r="AE893" s="12"/>
      <c r="AF893" s="12"/>
      <c r="AY893" s="12"/>
      <c r="AZ893" s="12"/>
      <c r="BA893" s="12"/>
      <c r="BB893" s="12"/>
      <c r="BO893" s="12"/>
      <c r="BP893" s="12"/>
      <c r="BQ893" s="12"/>
      <c r="BR893" s="12"/>
    </row>
    <row r="894">
      <c r="AB894" s="12"/>
      <c r="AC894" s="12"/>
      <c r="AD894" s="12"/>
      <c r="AE894" s="12"/>
      <c r="AF894" s="12"/>
      <c r="AY894" s="12"/>
      <c r="AZ894" s="12"/>
      <c r="BA894" s="12"/>
      <c r="BB894" s="12"/>
      <c r="BO894" s="12"/>
      <c r="BP894" s="12"/>
      <c r="BQ894" s="12"/>
      <c r="BR894" s="12"/>
    </row>
    <row r="895">
      <c r="AB895" s="12"/>
      <c r="AC895" s="12"/>
      <c r="AD895" s="12"/>
      <c r="AE895" s="12"/>
      <c r="AF895" s="12"/>
      <c r="AY895" s="12"/>
      <c r="AZ895" s="12"/>
      <c r="BA895" s="12"/>
      <c r="BB895" s="12"/>
      <c r="BO895" s="12"/>
      <c r="BP895" s="12"/>
      <c r="BQ895" s="12"/>
      <c r="BR895" s="12"/>
    </row>
    <row r="896">
      <c r="AB896" s="12"/>
      <c r="AC896" s="12"/>
      <c r="AD896" s="12"/>
      <c r="AE896" s="12"/>
      <c r="AF896" s="12"/>
      <c r="AY896" s="12"/>
      <c r="AZ896" s="12"/>
      <c r="BA896" s="12"/>
      <c r="BB896" s="12"/>
      <c r="BO896" s="12"/>
      <c r="BP896" s="12"/>
      <c r="BQ896" s="12"/>
      <c r="BR896" s="12"/>
    </row>
    <row r="897">
      <c r="AB897" s="12"/>
      <c r="AC897" s="12"/>
      <c r="AD897" s="12"/>
      <c r="AE897" s="12"/>
      <c r="AF897" s="12"/>
      <c r="AY897" s="12"/>
      <c r="AZ897" s="12"/>
      <c r="BA897" s="12"/>
      <c r="BB897" s="12"/>
      <c r="BO897" s="12"/>
      <c r="BP897" s="12"/>
      <c r="BQ897" s="12"/>
      <c r="BR897" s="12"/>
    </row>
    <row r="898">
      <c r="AB898" s="12"/>
      <c r="AC898" s="12"/>
      <c r="AD898" s="12"/>
      <c r="AE898" s="12"/>
      <c r="AF898" s="12"/>
      <c r="AY898" s="12"/>
      <c r="AZ898" s="12"/>
      <c r="BA898" s="12"/>
      <c r="BB898" s="12"/>
      <c r="BO898" s="12"/>
      <c r="BP898" s="12"/>
      <c r="BQ898" s="12"/>
      <c r="BR898" s="12"/>
    </row>
    <row r="899">
      <c r="AB899" s="12"/>
      <c r="AC899" s="12"/>
      <c r="AD899" s="12"/>
      <c r="AE899" s="12"/>
      <c r="AF899" s="12"/>
      <c r="AY899" s="12"/>
      <c r="AZ899" s="12"/>
      <c r="BA899" s="12"/>
      <c r="BB899" s="12"/>
      <c r="BO899" s="12"/>
      <c r="BP899" s="12"/>
      <c r="BQ899" s="12"/>
      <c r="BR899" s="12"/>
    </row>
    <row r="900">
      <c r="AB900" s="12"/>
      <c r="AC900" s="12"/>
      <c r="AD900" s="12"/>
      <c r="AE900" s="12"/>
      <c r="AF900" s="12"/>
      <c r="AY900" s="12"/>
      <c r="AZ900" s="12"/>
      <c r="BA900" s="12"/>
      <c r="BB900" s="12"/>
      <c r="BO900" s="12"/>
      <c r="BP900" s="12"/>
      <c r="BQ900" s="12"/>
      <c r="BR900" s="12"/>
    </row>
    <row r="901">
      <c r="AB901" s="12"/>
      <c r="AC901" s="12"/>
      <c r="AD901" s="12"/>
      <c r="AE901" s="12"/>
      <c r="AF901" s="12"/>
      <c r="AY901" s="12"/>
      <c r="AZ901" s="12"/>
      <c r="BA901" s="12"/>
      <c r="BB901" s="12"/>
      <c r="BO901" s="12"/>
      <c r="BP901" s="12"/>
      <c r="BQ901" s="12"/>
      <c r="BR901" s="12"/>
    </row>
    <row r="902">
      <c r="AB902" s="12"/>
      <c r="AC902" s="12"/>
      <c r="AD902" s="12"/>
      <c r="AE902" s="12"/>
      <c r="AF902" s="12"/>
      <c r="AY902" s="12"/>
      <c r="AZ902" s="12"/>
      <c r="BA902" s="12"/>
      <c r="BB902" s="12"/>
      <c r="BO902" s="12"/>
      <c r="BP902" s="12"/>
      <c r="BQ902" s="12"/>
      <c r="BR902" s="12"/>
    </row>
    <row r="903">
      <c r="AB903" s="12"/>
      <c r="AC903" s="12"/>
      <c r="AD903" s="12"/>
      <c r="AE903" s="12"/>
      <c r="AF903" s="12"/>
      <c r="AY903" s="12"/>
      <c r="AZ903" s="12"/>
      <c r="BA903" s="12"/>
      <c r="BB903" s="12"/>
      <c r="BO903" s="12"/>
      <c r="BP903" s="12"/>
      <c r="BQ903" s="12"/>
      <c r="BR903" s="12"/>
    </row>
    <row r="904">
      <c r="AB904" s="12"/>
      <c r="AC904" s="12"/>
      <c r="AD904" s="12"/>
      <c r="AE904" s="12"/>
      <c r="AF904" s="12"/>
      <c r="AY904" s="12"/>
      <c r="AZ904" s="12"/>
      <c r="BA904" s="12"/>
      <c r="BB904" s="12"/>
      <c r="BO904" s="12"/>
      <c r="BP904" s="12"/>
      <c r="BQ904" s="12"/>
      <c r="BR904" s="12"/>
    </row>
    <row r="905">
      <c r="AB905" s="12"/>
      <c r="AC905" s="12"/>
      <c r="AD905" s="12"/>
      <c r="AE905" s="12"/>
      <c r="AF905" s="12"/>
      <c r="AY905" s="12"/>
      <c r="AZ905" s="12"/>
      <c r="BA905" s="12"/>
      <c r="BB905" s="12"/>
      <c r="BO905" s="12"/>
      <c r="BP905" s="12"/>
      <c r="BQ905" s="12"/>
      <c r="BR905" s="12"/>
    </row>
    <row r="906">
      <c r="AB906" s="12"/>
      <c r="AC906" s="12"/>
      <c r="AD906" s="12"/>
      <c r="AE906" s="12"/>
      <c r="AF906" s="12"/>
      <c r="AY906" s="12"/>
      <c r="AZ906" s="12"/>
      <c r="BA906" s="12"/>
      <c r="BB906" s="12"/>
      <c r="BO906" s="12"/>
      <c r="BP906" s="12"/>
      <c r="BQ906" s="12"/>
      <c r="BR906" s="12"/>
    </row>
    <row r="907">
      <c r="AB907" s="12"/>
      <c r="AC907" s="12"/>
      <c r="AD907" s="12"/>
      <c r="AE907" s="12"/>
      <c r="AF907" s="12"/>
      <c r="AY907" s="12"/>
      <c r="AZ907" s="12"/>
      <c r="BA907" s="12"/>
      <c r="BB907" s="12"/>
      <c r="BO907" s="12"/>
      <c r="BP907" s="12"/>
      <c r="BQ907" s="12"/>
      <c r="BR907" s="12"/>
    </row>
    <row r="908">
      <c r="AB908" s="12"/>
      <c r="AC908" s="12"/>
      <c r="AD908" s="12"/>
      <c r="AE908" s="12"/>
      <c r="AF908" s="12"/>
      <c r="AY908" s="12"/>
      <c r="AZ908" s="12"/>
      <c r="BA908" s="12"/>
      <c r="BB908" s="12"/>
      <c r="BO908" s="12"/>
      <c r="BP908" s="12"/>
      <c r="BQ908" s="12"/>
      <c r="BR908" s="12"/>
    </row>
    <row r="909">
      <c r="AB909" s="12"/>
      <c r="AC909" s="12"/>
      <c r="AD909" s="12"/>
      <c r="AE909" s="12"/>
      <c r="AF909" s="12"/>
      <c r="AY909" s="12"/>
      <c r="AZ909" s="12"/>
      <c r="BA909" s="12"/>
      <c r="BB909" s="12"/>
      <c r="BO909" s="12"/>
      <c r="BP909" s="12"/>
      <c r="BQ909" s="12"/>
      <c r="BR909" s="12"/>
    </row>
    <row r="910">
      <c r="AB910" s="12"/>
      <c r="AC910" s="12"/>
      <c r="AD910" s="12"/>
      <c r="AE910" s="12"/>
      <c r="AF910" s="12"/>
      <c r="AY910" s="12"/>
      <c r="AZ910" s="12"/>
      <c r="BA910" s="12"/>
      <c r="BB910" s="12"/>
      <c r="BO910" s="12"/>
      <c r="BP910" s="12"/>
      <c r="BQ910" s="12"/>
      <c r="BR910" s="12"/>
    </row>
    <row r="911">
      <c r="AB911" s="12"/>
      <c r="AC911" s="12"/>
      <c r="AD911" s="12"/>
      <c r="AE911" s="12"/>
      <c r="AF911" s="12"/>
      <c r="AY911" s="12"/>
      <c r="AZ911" s="12"/>
      <c r="BA911" s="12"/>
      <c r="BB911" s="12"/>
      <c r="BO911" s="12"/>
      <c r="BP911" s="12"/>
      <c r="BQ911" s="12"/>
      <c r="BR911" s="12"/>
    </row>
    <row r="912">
      <c r="AB912" s="12"/>
      <c r="AC912" s="12"/>
      <c r="AD912" s="12"/>
      <c r="AE912" s="12"/>
      <c r="AF912" s="12"/>
      <c r="AY912" s="12"/>
      <c r="AZ912" s="12"/>
      <c r="BA912" s="12"/>
      <c r="BB912" s="12"/>
      <c r="BO912" s="12"/>
      <c r="BP912" s="12"/>
      <c r="BQ912" s="12"/>
      <c r="BR912" s="12"/>
    </row>
    <row r="913">
      <c r="AB913" s="12"/>
      <c r="AC913" s="12"/>
      <c r="AD913" s="12"/>
      <c r="AE913" s="12"/>
      <c r="AF913" s="12"/>
      <c r="AY913" s="12"/>
      <c r="AZ913" s="12"/>
      <c r="BA913" s="12"/>
      <c r="BB913" s="12"/>
      <c r="BO913" s="12"/>
      <c r="BP913" s="12"/>
      <c r="BQ913" s="12"/>
      <c r="BR913" s="12"/>
    </row>
    <row r="914">
      <c r="AB914" s="12"/>
      <c r="AC914" s="12"/>
      <c r="AD914" s="12"/>
      <c r="AE914" s="12"/>
      <c r="AF914" s="12"/>
      <c r="AY914" s="12"/>
      <c r="AZ914" s="12"/>
      <c r="BA914" s="12"/>
      <c r="BB914" s="12"/>
      <c r="BO914" s="12"/>
      <c r="BP914" s="12"/>
      <c r="BQ914" s="12"/>
      <c r="BR914" s="12"/>
    </row>
    <row r="915">
      <c r="AB915" s="12"/>
      <c r="AC915" s="12"/>
      <c r="AD915" s="12"/>
      <c r="AE915" s="12"/>
      <c r="AF915" s="12"/>
      <c r="AY915" s="12"/>
      <c r="AZ915" s="12"/>
      <c r="BA915" s="12"/>
      <c r="BB915" s="12"/>
      <c r="BO915" s="12"/>
      <c r="BP915" s="12"/>
      <c r="BQ915" s="12"/>
      <c r="BR915" s="12"/>
    </row>
    <row r="916">
      <c r="AB916" s="12"/>
      <c r="AC916" s="12"/>
      <c r="AD916" s="12"/>
      <c r="AE916" s="12"/>
      <c r="AF916" s="12"/>
      <c r="AY916" s="12"/>
      <c r="AZ916" s="12"/>
      <c r="BA916" s="12"/>
      <c r="BB916" s="12"/>
      <c r="BO916" s="12"/>
      <c r="BP916" s="12"/>
      <c r="BQ916" s="12"/>
      <c r="BR916" s="12"/>
    </row>
    <row r="917">
      <c r="AB917" s="12"/>
      <c r="AC917" s="12"/>
      <c r="AD917" s="12"/>
      <c r="AE917" s="12"/>
      <c r="AF917" s="12"/>
      <c r="AY917" s="12"/>
      <c r="AZ917" s="12"/>
      <c r="BA917" s="12"/>
      <c r="BB917" s="12"/>
      <c r="BO917" s="12"/>
      <c r="BP917" s="12"/>
      <c r="BQ917" s="12"/>
      <c r="BR917" s="12"/>
    </row>
    <row r="918">
      <c r="AB918" s="12"/>
      <c r="AC918" s="12"/>
      <c r="AD918" s="12"/>
      <c r="AE918" s="12"/>
      <c r="AF918" s="12"/>
      <c r="AY918" s="12"/>
      <c r="AZ918" s="12"/>
      <c r="BA918" s="12"/>
      <c r="BB918" s="12"/>
      <c r="BO918" s="12"/>
      <c r="BP918" s="12"/>
      <c r="BQ918" s="12"/>
      <c r="BR918" s="12"/>
    </row>
    <row r="919">
      <c r="AB919" s="12"/>
      <c r="AC919" s="12"/>
      <c r="AD919" s="12"/>
      <c r="AE919" s="12"/>
      <c r="AF919" s="12"/>
      <c r="AY919" s="12"/>
      <c r="AZ919" s="12"/>
      <c r="BA919" s="12"/>
      <c r="BB919" s="12"/>
      <c r="BO919" s="12"/>
      <c r="BP919" s="12"/>
      <c r="BQ919" s="12"/>
      <c r="BR919" s="12"/>
    </row>
    <row r="920">
      <c r="AB920" s="12"/>
      <c r="AC920" s="12"/>
      <c r="AD920" s="12"/>
      <c r="AE920" s="12"/>
      <c r="AF920" s="12"/>
      <c r="AY920" s="12"/>
      <c r="AZ920" s="12"/>
      <c r="BA920" s="12"/>
      <c r="BB920" s="12"/>
      <c r="BO920" s="12"/>
      <c r="BP920" s="12"/>
      <c r="BQ920" s="12"/>
      <c r="BR920" s="12"/>
    </row>
    <row r="921">
      <c r="AB921" s="12"/>
      <c r="AC921" s="12"/>
      <c r="AD921" s="12"/>
      <c r="AE921" s="12"/>
      <c r="AF921" s="12"/>
      <c r="AY921" s="12"/>
      <c r="AZ921" s="12"/>
      <c r="BA921" s="12"/>
      <c r="BB921" s="12"/>
      <c r="BO921" s="12"/>
      <c r="BP921" s="12"/>
      <c r="BQ921" s="12"/>
      <c r="BR921" s="12"/>
    </row>
    <row r="922">
      <c r="AB922" s="12"/>
      <c r="AC922" s="12"/>
      <c r="AD922" s="12"/>
      <c r="AE922" s="12"/>
      <c r="AF922" s="12"/>
      <c r="AY922" s="12"/>
      <c r="AZ922" s="12"/>
      <c r="BA922" s="12"/>
      <c r="BB922" s="12"/>
      <c r="BO922" s="12"/>
      <c r="BP922" s="12"/>
      <c r="BQ922" s="12"/>
      <c r="BR922" s="12"/>
    </row>
    <row r="923">
      <c r="AB923" s="12"/>
      <c r="AC923" s="12"/>
      <c r="AD923" s="12"/>
      <c r="AE923" s="12"/>
      <c r="AF923" s="12"/>
      <c r="AY923" s="12"/>
      <c r="AZ923" s="12"/>
      <c r="BA923" s="12"/>
      <c r="BB923" s="12"/>
      <c r="BO923" s="12"/>
      <c r="BP923" s="12"/>
      <c r="BQ923" s="12"/>
      <c r="BR923" s="12"/>
    </row>
    <row r="924">
      <c r="AB924" s="12"/>
      <c r="AC924" s="12"/>
      <c r="AD924" s="12"/>
      <c r="AE924" s="12"/>
      <c r="AF924" s="12"/>
      <c r="AY924" s="12"/>
      <c r="AZ924" s="12"/>
      <c r="BA924" s="12"/>
      <c r="BB924" s="12"/>
      <c r="BO924" s="12"/>
      <c r="BP924" s="12"/>
      <c r="BQ924" s="12"/>
      <c r="BR924" s="12"/>
    </row>
    <row r="925">
      <c r="AB925" s="12"/>
      <c r="AC925" s="12"/>
      <c r="AD925" s="12"/>
      <c r="AE925" s="12"/>
      <c r="AF925" s="12"/>
      <c r="AY925" s="12"/>
      <c r="AZ925" s="12"/>
      <c r="BA925" s="12"/>
      <c r="BB925" s="12"/>
      <c r="BO925" s="12"/>
      <c r="BP925" s="12"/>
      <c r="BQ925" s="12"/>
      <c r="BR925" s="12"/>
    </row>
    <row r="926">
      <c r="AB926" s="12"/>
      <c r="AC926" s="12"/>
      <c r="AD926" s="12"/>
      <c r="AE926" s="12"/>
      <c r="AF926" s="12"/>
      <c r="AY926" s="12"/>
      <c r="AZ926" s="12"/>
      <c r="BA926" s="12"/>
      <c r="BB926" s="12"/>
      <c r="BO926" s="12"/>
      <c r="BP926" s="12"/>
      <c r="BQ926" s="12"/>
      <c r="BR926" s="12"/>
    </row>
    <row r="927">
      <c r="AB927" s="12"/>
      <c r="AC927" s="12"/>
      <c r="AD927" s="12"/>
      <c r="AE927" s="12"/>
      <c r="AF927" s="12"/>
      <c r="AY927" s="12"/>
      <c r="AZ927" s="12"/>
      <c r="BA927" s="12"/>
      <c r="BB927" s="12"/>
      <c r="BO927" s="12"/>
      <c r="BP927" s="12"/>
      <c r="BQ927" s="12"/>
      <c r="BR927" s="12"/>
    </row>
    <row r="928">
      <c r="AB928" s="12"/>
      <c r="AC928" s="12"/>
      <c r="AD928" s="12"/>
      <c r="AE928" s="12"/>
      <c r="AF928" s="12"/>
      <c r="AY928" s="12"/>
      <c r="AZ928" s="12"/>
      <c r="BA928" s="12"/>
      <c r="BB928" s="12"/>
      <c r="BO928" s="12"/>
      <c r="BP928" s="12"/>
      <c r="BQ928" s="12"/>
      <c r="BR928" s="12"/>
    </row>
    <row r="929">
      <c r="AB929" s="12"/>
      <c r="AC929" s="12"/>
      <c r="AD929" s="12"/>
      <c r="AE929" s="12"/>
      <c r="AF929" s="12"/>
      <c r="AY929" s="12"/>
      <c r="AZ929" s="12"/>
      <c r="BA929" s="12"/>
      <c r="BB929" s="12"/>
      <c r="BO929" s="12"/>
      <c r="BP929" s="12"/>
      <c r="BQ929" s="12"/>
      <c r="BR929" s="12"/>
    </row>
    <row r="930">
      <c r="AB930" s="12"/>
      <c r="AC930" s="12"/>
      <c r="AD930" s="12"/>
      <c r="AE930" s="12"/>
      <c r="AF930" s="12"/>
      <c r="AY930" s="12"/>
      <c r="AZ930" s="12"/>
      <c r="BA930" s="12"/>
      <c r="BB930" s="12"/>
      <c r="BO930" s="12"/>
      <c r="BP930" s="12"/>
      <c r="BQ930" s="12"/>
      <c r="BR930" s="12"/>
    </row>
    <row r="931">
      <c r="AB931" s="12"/>
      <c r="AC931" s="12"/>
      <c r="AD931" s="12"/>
      <c r="AE931" s="12"/>
      <c r="AF931" s="12"/>
      <c r="AY931" s="12"/>
      <c r="AZ931" s="12"/>
      <c r="BA931" s="12"/>
      <c r="BB931" s="12"/>
      <c r="BO931" s="12"/>
      <c r="BP931" s="12"/>
      <c r="BQ931" s="12"/>
      <c r="BR931" s="12"/>
    </row>
    <row r="932">
      <c r="AB932" s="12"/>
      <c r="AC932" s="12"/>
      <c r="AD932" s="12"/>
      <c r="AE932" s="12"/>
      <c r="AF932" s="12"/>
      <c r="AY932" s="12"/>
      <c r="AZ932" s="12"/>
      <c r="BA932" s="12"/>
      <c r="BB932" s="12"/>
      <c r="BO932" s="12"/>
      <c r="BP932" s="12"/>
      <c r="BQ932" s="12"/>
      <c r="BR932" s="12"/>
    </row>
    <row r="933">
      <c r="AB933" s="12"/>
      <c r="AC933" s="12"/>
      <c r="AD933" s="12"/>
      <c r="AE933" s="12"/>
      <c r="AF933" s="12"/>
      <c r="AY933" s="12"/>
      <c r="AZ933" s="12"/>
      <c r="BA933" s="12"/>
      <c r="BB933" s="12"/>
      <c r="BO933" s="12"/>
      <c r="BP933" s="12"/>
      <c r="BQ933" s="12"/>
      <c r="BR933" s="12"/>
    </row>
    <row r="934">
      <c r="AB934" s="12"/>
      <c r="AC934" s="12"/>
      <c r="AD934" s="12"/>
      <c r="AE934" s="12"/>
      <c r="AF934" s="12"/>
      <c r="AY934" s="12"/>
      <c r="AZ934" s="12"/>
      <c r="BA934" s="12"/>
      <c r="BB934" s="12"/>
      <c r="BO934" s="12"/>
      <c r="BP934" s="12"/>
      <c r="BQ934" s="12"/>
      <c r="BR934" s="12"/>
    </row>
    <row r="935">
      <c r="AB935" s="12"/>
      <c r="AC935" s="12"/>
      <c r="AD935" s="12"/>
      <c r="AE935" s="12"/>
      <c r="AF935" s="12"/>
      <c r="AY935" s="12"/>
      <c r="AZ935" s="12"/>
      <c r="BA935" s="12"/>
      <c r="BB935" s="12"/>
      <c r="BO935" s="12"/>
      <c r="BP935" s="12"/>
      <c r="BQ935" s="12"/>
      <c r="BR935" s="12"/>
    </row>
    <row r="936">
      <c r="AB936" s="12"/>
      <c r="AC936" s="12"/>
      <c r="AD936" s="12"/>
      <c r="AE936" s="12"/>
      <c r="AF936" s="12"/>
      <c r="AY936" s="12"/>
      <c r="AZ936" s="12"/>
      <c r="BA936" s="12"/>
      <c r="BB936" s="12"/>
      <c r="BO936" s="12"/>
      <c r="BP936" s="12"/>
      <c r="BQ936" s="12"/>
      <c r="BR936" s="12"/>
    </row>
    <row r="937">
      <c r="AB937" s="12"/>
      <c r="AC937" s="12"/>
      <c r="AD937" s="12"/>
      <c r="AE937" s="12"/>
      <c r="AF937" s="12"/>
      <c r="AY937" s="12"/>
      <c r="AZ937" s="12"/>
      <c r="BA937" s="12"/>
      <c r="BB937" s="12"/>
      <c r="BO937" s="12"/>
      <c r="BP937" s="12"/>
      <c r="BQ937" s="12"/>
      <c r="BR937" s="12"/>
    </row>
    <row r="938">
      <c r="AB938" s="12"/>
      <c r="AC938" s="12"/>
      <c r="AD938" s="12"/>
      <c r="AE938" s="12"/>
      <c r="AF938" s="12"/>
      <c r="AY938" s="12"/>
      <c r="AZ938" s="12"/>
      <c r="BA938" s="12"/>
      <c r="BB938" s="12"/>
      <c r="BO938" s="12"/>
      <c r="BP938" s="12"/>
      <c r="BQ938" s="12"/>
      <c r="BR938" s="12"/>
    </row>
    <row r="939">
      <c r="AB939" s="12"/>
      <c r="AC939" s="12"/>
      <c r="AD939" s="12"/>
      <c r="AE939" s="12"/>
      <c r="AF939" s="12"/>
      <c r="AY939" s="12"/>
      <c r="AZ939" s="12"/>
      <c r="BA939" s="12"/>
      <c r="BB939" s="12"/>
      <c r="BO939" s="12"/>
      <c r="BP939" s="12"/>
      <c r="BQ939" s="12"/>
      <c r="BR939" s="12"/>
    </row>
    <row r="940">
      <c r="AB940" s="12"/>
      <c r="AC940" s="12"/>
      <c r="AD940" s="12"/>
      <c r="AE940" s="12"/>
      <c r="AF940" s="12"/>
      <c r="AY940" s="12"/>
      <c r="AZ940" s="12"/>
      <c r="BA940" s="12"/>
      <c r="BB940" s="12"/>
      <c r="BO940" s="12"/>
      <c r="BP940" s="12"/>
      <c r="BQ940" s="12"/>
      <c r="BR940" s="12"/>
    </row>
    <row r="941">
      <c r="AB941" s="12"/>
      <c r="AC941" s="12"/>
      <c r="AD941" s="12"/>
      <c r="AE941" s="12"/>
      <c r="AF941" s="12"/>
      <c r="AY941" s="12"/>
      <c r="AZ941" s="12"/>
      <c r="BA941" s="12"/>
      <c r="BB941" s="12"/>
      <c r="BO941" s="12"/>
      <c r="BP941" s="12"/>
      <c r="BQ941" s="12"/>
      <c r="BR941" s="12"/>
    </row>
    <row r="942">
      <c r="AB942" s="12"/>
      <c r="AC942" s="12"/>
      <c r="AD942" s="12"/>
      <c r="AE942" s="12"/>
      <c r="AF942" s="12"/>
      <c r="AY942" s="12"/>
      <c r="AZ942" s="12"/>
      <c r="BA942" s="12"/>
      <c r="BB942" s="12"/>
      <c r="BO942" s="12"/>
      <c r="BP942" s="12"/>
      <c r="BQ942" s="12"/>
      <c r="BR942" s="12"/>
    </row>
    <row r="943">
      <c r="AB943" s="12"/>
      <c r="AC943" s="12"/>
      <c r="AD943" s="12"/>
      <c r="AE943" s="12"/>
      <c r="AF943" s="12"/>
      <c r="AY943" s="12"/>
      <c r="AZ943" s="12"/>
      <c r="BA943" s="12"/>
      <c r="BB943" s="12"/>
      <c r="BO943" s="12"/>
      <c r="BP943" s="12"/>
      <c r="BQ943" s="12"/>
      <c r="BR943" s="12"/>
    </row>
    <row r="944">
      <c r="AB944" s="12"/>
      <c r="AC944" s="12"/>
      <c r="AD944" s="12"/>
      <c r="AE944" s="12"/>
      <c r="AF944" s="12"/>
      <c r="AY944" s="12"/>
      <c r="AZ944" s="12"/>
      <c r="BA944" s="12"/>
      <c r="BB944" s="12"/>
      <c r="BO944" s="12"/>
      <c r="BP944" s="12"/>
      <c r="BQ944" s="12"/>
      <c r="BR944" s="12"/>
    </row>
    <row r="945">
      <c r="AB945" s="12"/>
      <c r="AC945" s="12"/>
      <c r="AD945" s="12"/>
      <c r="AE945" s="12"/>
      <c r="AF945" s="12"/>
      <c r="AY945" s="12"/>
      <c r="AZ945" s="12"/>
      <c r="BA945" s="12"/>
      <c r="BB945" s="12"/>
      <c r="BO945" s="12"/>
      <c r="BP945" s="12"/>
      <c r="BQ945" s="12"/>
      <c r="BR945" s="12"/>
    </row>
    <row r="946">
      <c r="AB946" s="12"/>
      <c r="AC946" s="12"/>
      <c r="AD946" s="12"/>
      <c r="AE946" s="12"/>
      <c r="AF946" s="12"/>
      <c r="AY946" s="12"/>
      <c r="AZ946" s="12"/>
      <c r="BA946" s="12"/>
      <c r="BB946" s="12"/>
      <c r="BO946" s="12"/>
      <c r="BP946" s="12"/>
      <c r="BQ946" s="12"/>
      <c r="BR946" s="12"/>
    </row>
    <row r="947">
      <c r="AB947" s="12"/>
      <c r="AC947" s="12"/>
      <c r="AD947" s="12"/>
      <c r="AE947" s="12"/>
      <c r="AF947" s="12"/>
      <c r="AY947" s="12"/>
      <c r="AZ947" s="12"/>
      <c r="BA947" s="12"/>
      <c r="BB947" s="12"/>
      <c r="BO947" s="12"/>
      <c r="BP947" s="12"/>
      <c r="BQ947" s="12"/>
      <c r="BR947" s="12"/>
    </row>
    <row r="948">
      <c r="AB948" s="12"/>
      <c r="AC948" s="12"/>
      <c r="AD948" s="12"/>
      <c r="AE948" s="12"/>
      <c r="AF948" s="12"/>
      <c r="AY948" s="12"/>
      <c r="AZ948" s="12"/>
      <c r="BA948" s="12"/>
      <c r="BB948" s="12"/>
      <c r="BO948" s="12"/>
      <c r="BP948" s="12"/>
      <c r="BQ948" s="12"/>
      <c r="BR948" s="12"/>
    </row>
    <row r="949">
      <c r="AB949" s="12"/>
      <c r="AC949" s="12"/>
      <c r="AD949" s="12"/>
      <c r="AE949" s="12"/>
      <c r="AF949" s="12"/>
      <c r="AY949" s="12"/>
      <c r="AZ949" s="12"/>
      <c r="BA949" s="12"/>
      <c r="BB949" s="12"/>
      <c r="BO949" s="12"/>
      <c r="BP949" s="12"/>
      <c r="BQ949" s="12"/>
      <c r="BR949" s="12"/>
    </row>
    <row r="950">
      <c r="AB950" s="12"/>
      <c r="AC950" s="12"/>
      <c r="AD950" s="12"/>
      <c r="AE950" s="12"/>
      <c r="AF950" s="12"/>
      <c r="AY950" s="12"/>
      <c r="AZ950" s="12"/>
      <c r="BA950" s="12"/>
      <c r="BB950" s="12"/>
      <c r="BO950" s="12"/>
      <c r="BP950" s="12"/>
      <c r="BQ950" s="12"/>
      <c r="BR950" s="12"/>
    </row>
    <row r="951">
      <c r="AB951" s="12"/>
      <c r="AC951" s="12"/>
      <c r="AD951" s="12"/>
      <c r="AE951" s="12"/>
      <c r="AF951" s="12"/>
      <c r="AY951" s="12"/>
      <c r="AZ951" s="12"/>
      <c r="BA951" s="12"/>
      <c r="BB951" s="12"/>
      <c r="BO951" s="12"/>
      <c r="BP951" s="12"/>
      <c r="BQ951" s="12"/>
      <c r="BR951" s="12"/>
    </row>
    <row r="952">
      <c r="AB952" s="12"/>
      <c r="AC952" s="12"/>
      <c r="AD952" s="12"/>
      <c r="AE952" s="12"/>
      <c r="AF952" s="12"/>
      <c r="AY952" s="12"/>
      <c r="AZ952" s="12"/>
      <c r="BA952" s="12"/>
      <c r="BB952" s="12"/>
      <c r="BO952" s="12"/>
      <c r="BP952" s="12"/>
      <c r="BQ952" s="12"/>
      <c r="BR952" s="12"/>
    </row>
    <row r="953">
      <c r="AB953" s="12"/>
      <c r="AC953" s="12"/>
      <c r="AD953" s="12"/>
      <c r="AE953" s="12"/>
      <c r="AF953" s="12"/>
      <c r="AY953" s="12"/>
      <c r="AZ953" s="12"/>
      <c r="BA953" s="12"/>
      <c r="BB953" s="12"/>
      <c r="BO953" s="12"/>
      <c r="BP953" s="12"/>
      <c r="BQ953" s="12"/>
      <c r="BR953" s="12"/>
    </row>
    <row r="954">
      <c r="AB954" s="12"/>
      <c r="AC954" s="12"/>
      <c r="AD954" s="12"/>
      <c r="AE954" s="12"/>
      <c r="AF954" s="12"/>
      <c r="AY954" s="12"/>
      <c r="AZ954" s="12"/>
      <c r="BA954" s="12"/>
      <c r="BB954" s="12"/>
      <c r="BO954" s="12"/>
      <c r="BP954" s="12"/>
      <c r="BQ954" s="12"/>
      <c r="BR954" s="12"/>
    </row>
    <row r="955">
      <c r="AB955" s="12"/>
      <c r="AC955" s="12"/>
      <c r="AD955" s="12"/>
      <c r="AE955" s="12"/>
      <c r="AF955" s="12"/>
      <c r="AY955" s="12"/>
      <c r="AZ955" s="12"/>
      <c r="BA955" s="12"/>
      <c r="BB955" s="12"/>
      <c r="BO955" s="12"/>
      <c r="BP955" s="12"/>
      <c r="BQ955" s="12"/>
      <c r="BR955" s="12"/>
    </row>
    <row r="956">
      <c r="AB956" s="12"/>
      <c r="AC956" s="12"/>
      <c r="AD956" s="12"/>
      <c r="AE956" s="12"/>
      <c r="AF956" s="12"/>
      <c r="AY956" s="12"/>
      <c r="AZ956" s="12"/>
      <c r="BA956" s="12"/>
      <c r="BB956" s="12"/>
      <c r="BO956" s="12"/>
      <c r="BP956" s="12"/>
      <c r="BQ956" s="12"/>
      <c r="BR956" s="12"/>
    </row>
    <row r="957">
      <c r="AB957" s="12"/>
      <c r="AC957" s="12"/>
      <c r="AD957" s="12"/>
      <c r="AE957" s="12"/>
      <c r="AF957" s="12"/>
      <c r="AY957" s="12"/>
      <c r="AZ957" s="12"/>
      <c r="BA957" s="12"/>
      <c r="BB957" s="12"/>
      <c r="BO957" s="12"/>
      <c r="BP957" s="12"/>
      <c r="BQ957" s="12"/>
      <c r="BR957" s="12"/>
    </row>
    <row r="958">
      <c r="AB958" s="12"/>
      <c r="AC958" s="12"/>
      <c r="AD958" s="12"/>
      <c r="AE958" s="12"/>
      <c r="AF958" s="12"/>
      <c r="AY958" s="12"/>
      <c r="AZ958" s="12"/>
      <c r="BA958" s="12"/>
      <c r="BB958" s="12"/>
      <c r="BO958" s="12"/>
      <c r="BP958" s="12"/>
      <c r="BQ958" s="12"/>
      <c r="BR958" s="12"/>
    </row>
    <row r="959">
      <c r="AB959" s="12"/>
      <c r="AC959" s="12"/>
      <c r="AD959" s="12"/>
      <c r="AE959" s="12"/>
      <c r="AF959" s="12"/>
      <c r="AY959" s="12"/>
      <c r="AZ959" s="12"/>
      <c r="BA959" s="12"/>
      <c r="BB959" s="12"/>
      <c r="BO959" s="12"/>
      <c r="BP959" s="12"/>
      <c r="BQ959" s="12"/>
      <c r="BR959" s="12"/>
    </row>
    <row r="960">
      <c r="AB960" s="12"/>
      <c r="AC960" s="12"/>
      <c r="AD960" s="12"/>
      <c r="AE960" s="12"/>
      <c r="AF960" s="12"/>
      <c r="AY960" s="12"/>
      <c r="AZ960" s="12"/>
      <c r="BA960" s="12"/>
      <c r="BB960" s="12"/>
      <c r="BO960" s="12"/>
      <c r="BP960" s="12"/>
      <c r="BQ960" s="12"/>
      <c r="BR960" s="12"/>
    </row>
    <row r="961">
      <c r="AB961" s="12"/>
      <c r="AC961" s="12"/>
      <c r="AD961" s="12"/>
      <c r="AE961" s="12"/>
      <c r="AF961" s="12"/>
      <c r="AY961" s="12"/>
      <c r="AZ961" s="12"/>
      <c r="BA961" s="12"/>
      <c r="BB961" s="12"/>
      <c r="BO961" s="12"/>
      <c r="BP961" s="12"/>
      <c r="BQ961" s="12"/>
      <c r="BR961" s="12"/>
    </row>
    <row r="962">
      <c r="AB962" s="12"/>
      <c r="AC962" s="12"/>
      <c r="AD962" s="12"/>
      <c r="AE962" s="12"/>
      <c r="AF962" s="12"/>
      <c r="AY962" s="12"/>
      <c r="AZ962" s="12"/>
      <c r="BA962" s="12"/>
      <c r="BB962" s="12"/>
      <c r="BO962" s="12"/>
      <c r="BP962" s="12"/>
      <c r="BQ962" s="12"/>
      <c r="BR962" s="12"/>
    </row>
    <row r="963">
      <c r="AB963" s="12"/>
      <c r="AC963" s="12"/>
      <c r="AD963" s="12"/>
      <c r="AE963" s="12"/>
      <c r="AF963" s="12"/>
      <c r="AY963" s="12"/>
      <c r="AZ963" s="12"/>
      <c r="BA963" s="12"/>
      <c r="BB963" s="12"/>
      <c r="BO963" s="12"/>
      <c r="BP963" s="12"/>
      <c r="BQ963" s="12"/>
      <c r="BR963" s="12"/>
    </row>
    <row r="964">
      <c r="AB964" s="12"/>
      <c r="AC964" s="12"/>
      <c r="AD964" s="12"/>
      <c r="AE964" s="12"/>
      <c r="AF964" s="12"/>
      <c r="AY964" s="12"/>
      <c r="AZ964" s="12"/>
      <c r="BA964" s="12"/>
      <c r="BB964" s="12"/>
      <c r="BO964" s="12"/>
      <c r="BP964" s="12"/>
      <c r="BQ964" s="12"/>
      <c r="BR964" s="12"/>
    </row>
    <row r="965">
      <c r="AB965" s="12"/>
      <c r="AC965" s="12"/>
      <c r="AD965" s="12"/>
      <c r="AE965" s="12"/>
      <c r="AF965" s="12"/>
      <c r="AY965" s="12"/>
      <c r="AZ965" s="12"/>
      <c r="BA965" s="12"/>
      <c r="BB965" s="12"/>
      <c r="BO965" s="12"/>
      <c r="BP965" s="12"/>
      <c r="BQ965" s="12"/>
      <c r="BR965" s="12"/>
    </row>
    <row r="966">
      <c r="AB966" s="12"/>
      <c r="AC966" s="12"/>
      <c r="AD966" s="12"/>
      <c r="AE966" s="12"/>
      <c r="AF966" s="12"/>
      <c r="AY966" s="12"/>
      <c r="AZ966" s="12"/>
      <c r="BA966" s="12"/>
      <c r="BB966" s="12"/>
      <c r="BO966" s="12"/>
      <c r="BP966" s="12"/>
      <c r="BQ966" s="12"/>
      <c r="BR966" s="12"/>
    </row>
    <row r="967">
      <c r="AB967" s="12"/>
      <c r="AC967" s="12"/>
      <c r="AD967" s="12"/>
      <c r="AE967" s="12"/>
      <c r="AF967" s="12"/>
      <c r="AY967" s="12"/>
      <c r="AZ967" s="12"/>
      <c r="BA967" s="12"/>
      <c r="BB967" s="12"/>
      <c r="BO967" s="12"/>
      <c r="BP967" s="12"/>
      <c r="BQ967" s="12"/>
      <c r="BR967" s="12"/>
    </row>
    <row r="968">
      <c r="AB968" s="12"/>
      <c r="AC968" s="12"/>
      <c r="AD968" s="12"/>
      <c r="AE968" s="12"/>
      <c r="AF968" s="12"/>
      <c r="AY968" s="12"/>
      <c r="AZ968" s="12"/>
      <c r="BA968" s="12"/>
      <c r="BB968" s="12"/>
      <c r="BO968" s="12"/>
      <c r="BP968" s="12"/>
      <c r="BQ968" s="12"/>
      <c r="BR968" s="12"/>
    </row>
    <row r="969">
      <c r="AB969" s="12"/>
      <c r="AC969" s="12"/>
      <c r="AD969" s="12"/>
      <c r="AE969" s="12"/>
      <c r="AF969" s="12"/>
      <c r="AY969" s="12"/>
      <c r="AZ969" s="12"/>
      <c r="BA969" s="12"/>
      <c r="BB969" s="12"/>
      <c r="BO969" s="12"/>
      <c r="BP969" s="12"/>
      <c r="BQ969" s="12"/>
      <c r="BR969" s="12"/>
    </row>
    <row r="970">
      <c r="AB970" s="12"/>
      <c r="AC970" s="12"/>
      <c r="AD970" s="12"/>
      <c r="AE970" s="12"/>
      <c r="AF970" s="12"/>
      <c r="AY970" s="12"/>
      <c r="AZ970" s="12"/>
      <c r="BA970" s="12"/>
      <c r="BB970" s="12"/>
      <c r="BO970" s="12"/>
      <c r="BP970" s="12"/>
      <c r="BQ970" s="12"/>
      <c r="BR970" s="12"/>
    </row>
    <row r="971">
      <c r="AB971" s="12"/>
      <c r="AC971" s="12"/>
      <c r="AD971" s="12"/>
      <c r="AE971" s="12"/>
      <c r="AF971" s="12"/>
      <c r="AY971" s="12"/>
      <c r="AZ971" s="12"/>
      <c r="BA971" s="12"/>
      <c r="BB971" s="12"/>
      <c r="BO971" s="12"/>
      <c r="BP971" s="12"/>
      <c r="BQ971" s="12"/>
      <c r="BR971" s="12"/>
    </row>
    <row r="972">
      <c r="AB972" s="12"/>
      <c r="AC972" s="12"/>
      <c r="AD972" s="12"/>
      <c r="AE972" s="12"/>
      <c r="AF972" s="12"/>
      <c r="AY972" s="12"/>
      <c r="AZ972" s="12"/>
      <c r="BA972" s="12"/>
      <c r="BB972" s="12"/>
      <c r="BO972" s="12"/>
      <c r="BP972" s="12"/>
      <c r="BQ972" s="12"/>
      <c r="BR972" s="12"/>
    </row>
    <row r="973">
      <c r="AB973" s="12"/>
      <c r="AC973" s="12"/>
      <c r="AD973" s="12"/>
      <c r="AE973" s="12"/>
      <c r="AF973" s="12"/>
      <c r="AY973" s="12"/>
      <c r="AZ973" s="12"/>
      <c r="BA973" s="12"/>
      <c r="BB973" s="12"/>
      <c r="BO973" s="12"/>
      <c r="BP973" s="12"/>
      <c r="BQ973" s="12"/>
      <c r="BR973" s="12"/>
    </row>
    <row r="974">
      <c r="AB974" s="12"/>
      <c r="AC974" s="12"/>
      <c r="AD974" s="12"/>
      <c r="AE974" s="12"/>
      <c r="AF974" s="12"/>
      <c r="AY974" s="12"/>
      <c r="AZ974" s="12"/>
      <c r="BA974" s="12"/>
      <c r="BB974" s="12"/>
      <c r="BO974" s="12"/>
      <c r="BP974" s="12"/>
      <c r="BQ974" s="12"/>
      <c r="BR974" s="12"/>
    </row>
    <row r="975">
      <c r="AB975" s="12"/>
      <c r="AC975" s="12"/>
      <c r="AD975" s="12"/>
      <c r="AE975" s="12"/>
      <c r="AF975" s="12"/>
      <c r="AY975" s="12"/>
      <c r="AZ975" s="12"/>
      <c r="BA975" s="12"/>
      <c r="BB975" s="12"/>
      <c r="BO975" s="12"/>
      <c r="BP975" s="12"/>
      <c r="BQ975" s="12"/>
      <c r="BR975" s="12"/>
    </row>
    <row r="976">
      <c r="AB976" s="12"/>
      <c r="AC976" s="12"/>
      <c r="AD976" s="12"/>
      <c r="AE976" s="12"/>
      <c r="AF976" s="12"/>
      <c r="AY976" s="12"/>
      <c r="AZ976" s="12"/>
      <c r="BA976" s="12"/>
      <c r="BB976" s="12"/>
      <c r="BO976" s="12"/>
      <c r="BP976" s="12"/>
      <c r="BQ976" s="12"/>
      <c r="BR976" s="12"/>
    </row>
    <row r="977">
      <c r="AB977" s="12"/>
      <c r="AC977" s="12"/>
      <c r="AD977" s="12"/>
      <c r="AE977" s="12"/>
      <c r="AF977" s="12"/>
      <c r="AY977" s="12"/>
      <c r="AZ977" s="12"/>
      <c r="BA977" s="12"/>
      <c r="BB977" s="12"/>
      <c r="BO977" s="12"/>
      <c r="BP977" s="12"/>
      <c r="BQ977" s="12"/>
      <c r="BR977" s="12"/>
    </row>
    <row r="978">
      <c r="AB978" s="12"/>
      <c r="AC978" s="12"/>
      <c r="AD978" s="12"/>
      <c r="AE978" s="12"/>
      <c r="AF978" s="12"/>
      <c r="AY978" s="12"/>
      <c r="AZ978" s="12"/>
      <c r="BA978" s="12"/>
      <c r="BB978" s="12"/>
      <c r="BO978" s="12"/>
      <c r="BP978" s="12"/>
      <c r="BQ978" s="12"/>
      <c r="BR978" s="12"/>
    </row>
    <row r="979">
      <c r="AB979" s="12"/>
      <c r="AC979" s="12"/>
      <c r="AD979" s="12"/>
      <c r="AE979" s="12"/>
      <c r="AF979" s="12"/>
      <c r="AY979" s="12"/>
      <c r="AZ979" s="12"/>
      <c r="BA979" s="12"/>
      <c r="BB979" s="12"/>
      <c r="BO979" s="12"/>
      <c r="BP979" s="12"/>
      <c r="BQ979" s="12"/>
      <c r="BR979" s="12"/>
    </row>
    <row r="980">
      <c r="AB980" s="12"/>
      <c r="AC980" s="12"/>
      <c r="AD980" s="12"/>
      <c r="AE980" s="12"/>
      <c r="AF980" s="12"/>
      <c r="AY980" s="12"/>
      <c r="AZ980" s="12"/>
      <c r="BA980" s="12"/>
      <c r="BB980" s="12"/>
      <c r="BO980" s="12"/>
      <c r="BP980" s="12"/>
      <c r="BQ980" s="12"/>
      <c r="BR980" s="12"/>
    </row>
    <row r="981">
      <c r="AB981" s="12"/>
      <c r="AC981" s="12"/>
      <c r="AD981" s="12"/>
      <c r="AE981" s="12"/>
      <c r="AF981" s="12"/>
      <c r="AY981" s="12"/>
      <c r="AZ981" s="12"/>
      <c r="BA981" s="12"/>
      <c r="BB981" s="12"/>
      <c r="BO981" s="12"/>
      <c r="BP981" s="12"/>
      <c r="BQ981" s="12"/>
      <c r="BR981" s="12"/>
    </row>
    <row r="982">
      <c r="AB982" s="12"/>
      <c r="AC982" s="12"/>
      <c r="AD982" s="12"/>
      <c r="AE982" s="12"/>
      <c r="AF982" s="12"/>
      <c r="AY982" s="12"/>
      <c r="AZ982" s="12"/>
      <c r="BA982" s="12"/>
      <c r="BB982" s="12"/>
      <c r="BO982" s="12"/>
      <c r="BP982" s="12"/>
      <c r="BQ982" s="12"/>
      <c r="BR982" s="12"/>
    </row>
    <row r="983">
      <c r="AB983" s="12"/>
      <c r="AC983" s="12"/>
      <c r="AD983" s="12"/>
      <c r="AE983" s="12"/>
      <c r="AF983" s="12"/>
      <c r="AY983" s="12"/>
      <c r="AZ983" s="12"/>
      <c r="BA983" s="12"/>
      <c r="BB983" s="12"/>
      <c r="BO983" s="12"/>
      <c r="BP983" s="12"/>
      <c r="BQ983" s="12"/>
      <c r="BR983" s="12"/>
    </row>
    <row r="984">
      <c r="AB984" s="12"/>
      <c r="AC984" s="12"/>
      <c r="AD984" s="12"/>
      <c r="AE984" s="12"/>
      <c r="AF984" s="12"/>
      <c r="AY984" s="12"/>
      <c r="AZ984" s="12"/>
      <c r="BA984" s="12"/>
      <c r="BB984" s="12"/>
      <c r="BO984" s="12"/>
      <c r="BP984" s="12"/>
      <c r="BQ984" s="12"/>
      <c r="BR984" s="12"/>
    </row>
    <row r="985">
      <c r="AB985" s="12"/>
      <c r="AC985" s="12"/>
      <c r="AD985" s="12"/>
      <c r="AE985" s="12"/>
      <c r="AF985" s="12"/>
      <c r="AY985" s="12"/>
      <c r="AZ985" s="12"/>
      <c r="BA985" s="12"/>
      <c r="BB985" s="12"/>
      <c r="BO985" s="12"/>
      <c r="BP985" s="12"/>
      <c r="BQ985" s="12"/>
      <c r="BR985" s="12"/>
    </row>
    <row r="986">
      <c r="AB986" s="12"/>
      <c r="AC986" s="12"/>
      <c r="AD986" s="12"/>
      <c r="AE986" s="12"/>
      <c r="AF986" s="12"/>
      <c r="AY986" s="12"/>
      <c r="AZ986" s="12"/>
      <c r="BA986" s="12"/>
      <c r="BB986" s="12"/>
      <c r="BO986" s="12"/>
      <c r="BP986" s="12"/>
      <c r="BQ986" s="12"/>
      <c r="BR986" s="12"/>
    </row>
    <row r="987">
      <c r="AB987" s="12"/>
      <c r="AC987" s="12"/>
      <c r="AD987" s="12"/>
      <c r="AE987" s="12"/>
      <c r="AF987" s="12"/>
      <c r="AY987" s="12"/>
      <c r="AZ987" s="12"/>
      <c r="BA987" s="12"/>
      <c r="BB987" s="12"/>
      <c r="BO987" s="12"/>
      <c r="BP987" s="12"/>
      <c r="BQ987" s="12"/>
      <c r="BR987" s="12"/>
    </row>
    <row r="988">
      <c r="AB988" s="12"/>
      <c r="AC988" s="12"/>
      <c r="AD988" s="12"/>
      <c r="AE988" s="12"/>
      <c r="AF988" s="12"/>
      <c r="AY988" s="12"/>
      <c r="AZ988" s="12"/>
      <c r="BA988" s="12"/>
      <c r="BB988" s="12"/>
      <c r="BO988" s="12"/>
      <c r="BP988" s="12"/>
      <c r="BQ988" s="12"/>
      <c r="BR988" s="12"/>
    </row>
    <row r="989">
      <c r="AB989" s="12"/>
      <c r="AC989" s="12"/>
      <c r="AD989" s="12"/>
      <c r="AE989" s="12"/>
      <c r="AF989" s="12"/>
      <c r="AY989" s="12"/>
      <c r="AZ989" s="12"/>
      <c r="BA989" s="12"/>
      <c r="BB989" s="12"/>
      <c r="BO989" s="12"/>
      <c r="BP989" s="12"/>
      <c r="BQ989" s="12"/>
      <c r="BR989" s="12"/>
    </row>
    <row r="990">
      <c r="AB990" s="12"/>
      <c r="AC990" s="12"/>
      <c r="AD990" s="12"/>
      <c r="AE990" s="12"/>
      <c r="AF990" s="12"/>
      <c r="AY990" s="12"/>
      <c r="AZ990" s="12"/>
      <c r="BA990" s="12"/>
      <c r="BB990" s="12"/>
      <c r="BO990" s="12"/>
      <c r="BP990" s="12"/>
      <c r="BQ990" s="12"/>
      <c r="BR990" s="12"/>
    </row>
    <row r="991">
      <c r="AB991" s="12"/>
      <c r="AC991" s="12"/>
      <c r="AD991" s="12"/>
      <c r="AE991" s="12"/>
      <c r="AF991" s="12"/>
      <c r="AY991" s="12"/>
      <c r="AZ991" s="12"/>
      <c r="BA991" s="12"/>
      <c r="BB991" s="12"/>
      <c r="BO991" s="12"/>
      <c r="BP991" s="12"/>
      <c r="BQ991" s="12"/>
      <c r="BR991" s="12"/>
    </row>
    <row r="992">
      <c r="AB992" s="12"/>
      <c r="AC992" s="12"/>
      <c r="AD992" s="12"/>
      <c r="AE992" s="12"/>
      <c r="AF992" s="12"/>
      <c r="AY992" s="12"/>
      <c r="AZ992" s="12"/>
      <c r="BA992" s="12"/>
      <c r="BB992" s="12"/>
      <c r="BO992" s="12"/>
      <c r="BP992" s="12"/>
      <c r="BQ992" s="12"/>
      <c r="BR992" s="12"/>
    </row>
    <row r="993">
      <c r="AB993" s="12"/>
      <c r="AC993" s="12"/>
      <c r="AD993" s="12"/>
      <c r="AE993" s="12"/>
      <c r="AF993" s="12"/>
      <c r="AY993" s="12"/>
      <c r="AZ993" s="12"/>
      <c r="BA993" s="12"/>
      <c r="BB993" s="12"/>
      <c r="BO993" s="12"/>
      <c r="BP993" s="12"/>
      <c r="BQ993" s="12"/>
      <c r="BR993" s="12"/>
    </row>
    <row r="994">
      <c r="AB994" s="12"/>
      <c r="AC994" s="12"/>
      <c r="AD994" s="12"/>
      <c r="AE994" s="12"/>
      <c r="AF994" s="12"/>
      <c r="AY994" s="12"/>
      <c r="AZ994" s="12"/>
      <c r="BA994" s="12"/>
      <c r="BB994" s="12"/>
      <c r="BO994" s="12"/>
      <c r="BP994" s="12"/>
      <c r="BQ994" s="12"/>
      <c r="BR994" s="12"/>
    </row>
    <row r="995">
      <c r="AB995" s="12"/>
      <c r="AC995" s="12"/>
      <c r="AD995" s="12"/>
      <c r="AE995" s="12"/>
      <c r="AF995" s="12"/>
      <c r="AY995" s="12"/>
      <c r="AZ995" s="12"/>
      <c r="BA995" s="12"/>
      <c r="BB995" s="12"/>
      <c r="BO995" s="12"/>
      <c r="BP995" s="12"/>
      <c r="BQ995" s="12"/>
      <c r="BR995" s="12"/>
    </row>
    <row r="996">
      <c r="AB996" s="12"/>
      <c r="AC996" s="12"/>
      <c r="AD996" s="12"/>
      <c r="AE996" s="12"/>
      <c r="AF996" s="12"/>
      <c r="AY996" s="12"/>
      <c r="AZ996" s="12"/>
      <c r="BA996" s="12"/>
      <c r="BB996" s="12"/>
      <c r="BO996" s="12"/>
      <c r="BP996" s="12"/>
      <c r="BQ996" s="12"/>
      <c r="BR996" s="12"/>
    </row>
    <row r="997">
      <c r="AB997" s="12"/>
      <c r="AC997" s="12"/>
      <c r="AD997" s="12"/>
      <c r="AE997" s="12"/>
      <c r="AF997" s="12"/>
      <c r="AY997" s="12"/>
      <c r="AZ997" s="12"/>
      <c r="BA997" s="12"/>
      <c r="BB997" s="12"/>
      <c r="BO997" s="12"/>
      <c r="BP997" s="12"/>
      <c r="BQ997" s="12"/>
      <c r="BR997" s="12"/>
    </row>
    <row r="998">
      <c r="AB998" s="12"/>
      <c r="AC998" s="12"/>
      <c r="AD998" s="12"/>
      <c r="AE998" s="12"/>
      <c r="AF998" s="12"/>
      <c r="AY998" s="12"/>
      <c r="AZ998" s="12"/>
      <c r="BA998" s="12"/>
      <c r="BB998" s="12"/>
      <c r="BO998" s="12"/>
      <c r="BP998" s="12"/>
      <c r="BQ998" s="12"/>
      <c r="BR998" s="12"/>
    </row>
    <row r="999">
      <c r="AB999" s="12"/>
      <c r="AC999" s="12"/>
      <c r="AD999" s="12"/>
      <c r="AE999" s="12"/>
      <c r="AF999" s="12"/>
      <c r="AY999" s="12"/>
      <c r="AZ999" s="12"/>
      <c r="BA999" s="12"/>
      <c r="BB999" s="12"/>
      <c r="BO999" s="12"/>
      <c r="BP999" s="12"/>
      <c r="BQ999" s="12"/>
      <c r="BR999" s="12"/>
    </row>
    <row r="1000">
      <c r="AB1000" s="12"/>
      <c r="AC1000" s="12"/>
      <c r="AD1000" s="12"/>
      <c r="AE1000" s="12"/>
      <c r="AF1000" s="12"/>
      <c r="AY1000" s="12"/>
      <c r="AZ1000" s="12"/>
      <c r="BA1000" s="12"/>
      <c r="BB1000" s="12"/>
      <c r="BO1000" s="12"/>
      <c r="BP1000" s="12"/>
      <c r="BQ1000" s="12"/>
      <c r="BR1000" s="12"/>
    </row>
    <row r="1001">
      <c r="AB1001" s="12"/>
      <c r="AC1001" s="12"/>
      <c r="AD1001" s="12"/>
      <c r="AE1001" s="12"/>
      <c r="AF1001" s="12"/>
      <c r="AY1001" s="12"/>
      <c r="AZ1001" s="12"/>
      <c r="BA1001" s="12"/>
      <c r="BB1001" s="12"/>
      <c r="BO1001" s="12"/>
      <c r="BP1001" s="12"/>
      <c r="BQ1001" s="12"/>
      <c r="BR1001" s="12"/>
    </row>
    <row r="1002">
      <c r="AB1002" s="12"/>
      <c r="AC1002" s="12"/>
      <c r="AD1002" s="12"/>
      <c r="AE1002" s="12"/>
      <c r="AF1002" s="12"/>
      <c r="AY1002" s="12"/>
      <c r="AZ1002" s="12"/>
      <c r="BA1002" s="12"/>
      <c r="BB1002" s="12"/>
      <c r="BO1002" s="12"/>
      <c r="BP1002" s="12"/>
      <c r="BQ1002" s="12"/>
      <c r="BR1002" s="12"/>
    </row>
    <row r="1003">
      <c r="AB1003" s="12"/>
      <c r="AC1003" s="12"/>
      <c r="AD1003" s="12"/>
      <c r="AE1003" s="12"/>
      <c r="AF1003" s="12"/>
      <c r="AY1003" s="12"/>
      <c r="AZ1003" s="12"/>
      <c r="BA1003" s="12"/>
      <c r="BB1003" s="12"/>
      <c r="BO1003" s="12"/>
      <c r="BP1003" s="12"/>
      <c r="BQ1003" s="12"/>
      <c r="BR1003" s="12"/>
    </row>
    <row r="1004">
      <c r="AB1004" s="12"/>
      <c r="AC1004" s="12"/>
      <c r="AD1004" s="12"/>
      <c r="AE1004" s="12"/>
      <c r="AF1004" s="12"/>
      <c r="AY1004" s="12"/>
      <c r="AZ1004" s="12"/>
      <c r="BA1004" s="12"/>
      <c r="BB1004" s="12"/>
      <c r="BO1004" s="12"/>
      <c r="BP1004" s="12"/>
      <c r="BQ1004" s="12"/>
      <c r="BR1004" s="12"/>
    </row>
    <row r="1005">
      <c r="AB1005" s="12"/>
      <c r="AC1005" s="12"/>
      <c r="AD1005" s="12"/>
      <c r="AE1005" s="12"/>
      <c r="AF1005" s="12"/>
      <c r="AY1005" s="12"/>
      <c r="AZ1005" s="12"/>
      <c r="BA1005" s="12"/>
      <c r="BB1005" s="12"/>
      <c r="BO1005" s="12"/>
      <c r="BP1005" s="12"/>
      <c r="BQ1005" s="12"/>
      <c r="BR1005" s="12"/>
    </row>
    <row r="1006">
      <c r="AB1006" s="12"/>
      <c r="AC1006" s="12"/>
      <c r="AD1006" s="12"/>
      <c r="AE1006" s="12"/>
      <c r="AF1006" s="12"/>
      <c r="AY1006" s="12"/>
      <c r="AZ1006" s="12"/>
      <c r="BA1006" s="12"/>
      <c r="BB1006" s="12"/>
      <c r="BO1006" s="12"/>
      <c r="BP1006" s="12"/>
      <c r="BQ1006" s="12"/>
      <c r="BR1006" s="12"/>
    </row>
    <row r="1007">
      <c r="AB1007" s="12"/>
      <c r="AC1007" s="12"/>
      <c r="AD1007" s="12"/>
      <c r="AE1007" s="12"/>
      <c r="AF1007" s="12"/>
      <c r="AY1007" s="12"/>
      <c r="AZ1007" s="12"/>
      <c r="BA1007" s="12"/>
      <c r="BB1007" s="12"/>
      <c r="BO1007" s="12"/>
      <c r="BP1007" s="12"/>
      <c r="BQ1007" s="12"/>
      <c r="BR1007" s="12"/>
    </row>
    <row r="1008">
      <c r="AB1008" s="12"/>
      <c r="AC1008" s="12"/>
      <c r="AD1008" s="12"/>
      <c r="AE1008" s="12"/>
      <c r="AF1008" s="12"/>
      <c r="AY1008" s="12"/>
      <c r="AZ1008" s="12"/>
      <c r="BA1008" s="12"/>
      <c r="BB1008" s="12"/>
      <c r="BO1008" s="12"/>
      <c r="BP1008" s="12"/>
      <c r="BQ1008" s="12"/>
      <c r="BR1008" s="12"/>
    </row>
  </sheetData>
  <drawing r:id="rId1"/>
</worksheet>
</file>