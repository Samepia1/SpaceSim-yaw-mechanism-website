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<sst xmlns="http://schemas.openxmlformats.org/spreadsheetml/2006/main" count="93" uniqueCount="11">
  <si>
    <t>Edo</t>
  </si>
  <si>
    <t>Ellie</t>
  </si>
  <si>
    <t>Keegan</t>
  </si>
  <si>
    <t>yaw sweep</t>
  </si>
  <si>
    <t>SEC</t>
  </si>
  <si>
    <t>ON</t>
  </si>
  <si>
    <t>yaw sweep 2</t>
  </si>
  <si>
    <t>Run1</t>
  </si>
  <si>
    <t>Yaw</t>
  </si>
  <si>
    <t>CL Coeff</t>
  </si>
  <si>
    <t>CD Coeff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</si>
</sst>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99"/>
        <bgColor rgb="FFFF9999"/>
      </patternFill>
    </fill>
  </fills>
  <borders count="4">
    <border/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1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3" fillId="2" fontId="1" numFmtId="165" xfId="0" applyAlignment="1" applyBorder="1" applyFill="1" applyFont="1" applyNumberFormat="1">
      <alignment horizontal="center" vertical="bottom"/>
    </xf>
    <xf borderId="2" fillId="0" fontId="1" numFmtId="165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 vs Yaw 10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Sheet1!$D$1:$D$13</c:f>
            </c:numRef>
          </c:xVal>
          <c:yVal>
            <c:numRef>
              <c:f>Sheet1!$H$1:$H$4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09316"/>
        <c:axId val="1615124424"/>
      </c:scatterChart>
      <c:valAx>
        <c:axId val="953009316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124424"/>
      </c:valAx>
      <c:valAx>
        <c:axId val="1615124424"/>
        <c:scaling>
          <c:orientation val="minMax"/>
          <c:max val="3.5"/>
          <c:min val="2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009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 vs Yaw 15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Sheet1!$D$9:$D$13</c:f>
            </c:numRef>
          </c:xVal>
          <c:yVal>
            <c:numRef>
              <c:f>Sheet1!$H$9:$H$13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336101"/>
        <c:axId val="392193008"/>
      </c:scatterChart>
      <c:valAx>
        <c:axId val="998336101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193008"/>
      </c:valAx>
      <c:valAx>
        <c:axId val="392193008"/>
        <c:scaling>
          <c:orientation val="minMax"/>
          <c:max val="3.5"/>
          <c:min val="2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336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CD vs Yaw 10ms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Sheet1!$D$1:$D$13</c:f>
            </c:numRef>
          </c:xVal>
          <c:yVal>
            <c:numRef>
              <c:f>Sheet1!$I$1:$I$4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07073"/>
        <c:axId val="82842768"/>
      </c:scatterChart>
      <c:valAx>
        <c:axId val="85407073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42768"/>
      </c:valAx>
      <c:valAx>
        <c:axId val="82842768"/>
        <c:scaling>
          <c:orientation val="minMax"/>
          <c:max val="1.75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07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CD vs Yaw 15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Sheet1!$D$9:$D$13</c:f>
            </c:numRef>
          </c:xVal>
          <c:yVal>
            <c:numRef>
              <c:f>Sheet1!$I$9:$I$13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48048"/>
        <c:axId val="683325736"/>
      </c:scatterChart>
      <c:valAx>
        <c:axId val="1565748048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325736"/>
      </c:valAx>
      <c:valAx>
        <c:axId val="683325736"/>
        <c:scaling>
          <c:orientation val="minMax"/>
          <c:max val="1.75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748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%Front vs Yaw 10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Sheet1!$D$1:$D$13</c:f>
            </c:numRef>
          </c:xVal>
          <c:yVal>
            <c:numRef>
              <c:f>Sheet1!$M$1:$M$4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09267"/>
        <c:axId val="1175592472"/>
      </c:scatterChart>
      <c:valAx>
        <c:axId val="118209267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592472"/>
      </c:valAx>
      <c:valAx>
        <c:axId val="1175592472"/>
        <c:scaling>
          <c:orientation val="minMax"/>
          <c:max val="60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%Front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09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%Front vs Yaw 15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Sheet1!$D$9:$D$13</c:f>
            </c:numRef>
          </c:xVal>
          <c:yVal>
            <c:numRef>
              <c:f>Sheet1!$M$9:$M$13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576530"/>
        <c:axId val="70752507"/>
      </c:scatterChart>
      <c:valAx>
        <c:axId val="1439576530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52507"/>
      </c:valAx>
      <c:valAx>
        <c:axId val="70752507"/>
        <c:scaling>
          <c:orientation val="minMax"/>
          <c:max val="60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%Front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576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 Coeff vs Yaw 10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Sheet1!$A$32:$A$37</c:f>
            </c:numRef>
          </c:xVal>
          <c:yVal>
            <c:numRef>
              <c:f>Sheet1!$B$32:$B$37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525405"/>
        <c:axId val="334955660"/>
      </c:scatterChart>
      <c:valAx>
        <c:axId val="1291525405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955660"/>
      </c:valAx>
      <c:valAx>
        <c:axId val="334955660"/>
        <c:scaling>
          <c:orientation val="minMax"/>
          <c:max val="0.6"/>
          <c:min val="0.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 Coeff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525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CD Coeff vs Yaw 10 ms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Sheet1!$A$33:$A$37</c:f>
            </c:numRef>
          </c:xVal>
          <c:yVal>
            <c:numRef>
              <c:f>Sheet1!$C$33:$C$37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525907"/>
        <c:axId val="1493997097"/>
      </c:scatterChart>
      <c:valAx>
        <c:axId val="1563525907"/>
        <c:scaling>
          <c:orientation val="minMax"/>
          <c:max val="8.0"/>
          <c:min val="-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997097"/>
      </c:valAx>
      <c:valAx>
        <c:axId val="1493997097"/>
        <c:scaling>
          <c:orientation val="minMax"/>
          <c:max val="0.9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CD Coeff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525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20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57150</xdr:colOff>
      <xdr:row>20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104775</xdr:colOff>
      <xdr:row>38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57150</xdr:colOff>
      <xdr:row>38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104775</xdr:colOff>
      <xdr:row>56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57150</xdr:colOff>
      <xdr:row>56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104775</xdr:colOff>
      <xdr:row>73</xdr:row>
      <xdr:rowOff>180975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57150</xdr:colOff>
      <xdr:row>73</xdr:row>
      <xdr:rowOff>180975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2.3</v>
      </c>
      <c r="B1" s="1">
        <v>10.41573536</v>
      </c>
      <c r="C1" s="1">
        <v>23.3</v>
      </c>
      <c r="D1" s="1">
        <v>6.0</v>
      </c>
      <c r="E1" s="2" t="s">
        <v>0</v>
      </c>
      <c r="F1" s="2">
        <v>201.2655376</v>
      </c>
      <c r="G1" s="2">
        <v>89.18406957</v>
      </c>
      <c r="H1" s="2">
        <v>2.957310658</v>
      </c>
      <c r="I1" s="2">
        <v>1.305402456</v>
      </c>
      <c r="J1" s="2">
        <v>1.318350722</v>
      </c>
      <c r="K1" s="2">
        <v>0.6021817287</v>
      </c>
      <c r="L1" s="2">
        <v>2.256743144</v>
      </c>
      <c r="M1" s="2">
        <v>58.12697863</v>
      </c>
      <c r="N1" s="2">
        <v>41.87302137</v>
      </c>
      <c r="O1" s="2">
        <v>2.867920893</v>
      </c>
      <c r="P1" s="3">
        <v>3.09E-5</v>
      </c>
      <c r="Q1" s="2">
        <v>0.001938860838</v>
      </c>
      <c r="R1" s="2">
        <v>1.302315666</v>
      </c>
      <c r="S1" s="3">
        <v>3.79E-6</v>
      </c>
      <c r="T1" s="2">
        <v>0.001495267559</v>
      </c>
      <c r="U1" s="2">
        <v>58.17314389</v>
      </c>
      <c r="V1" s="3">
        <v>2.37E-4</v>
      </c>
      <c r="W1" s="3">
        <v>2.64E-4</v>
      </c>
      <c r="X1" s="2">
        <v>79.22967953</v>
      </c>
      <c r="Y1" s="2">
        <v>17.86009185</v>
      </c>
      <c r="Z1" s="2">
        <v>58.81598816</v>
      </c>
      <c r="AA1" s="2">
        <v>5.470536845</v>
      </c>
      <c r="AB1" s="2">
        <v>4.009020534</v>
      </c>
      <c r="AC1" s="2">
        <v>2.274186411</v>
      </c>
      <c r="AD1" s="2">
        <v>1.841377708</v>
      </c>
      <c r="AE1" s="2">
        <v>2.204024273</v>
      </c>
      <c r="AF1" s="2">
        <v>2.574520595</v>
      </c>
      <c r="AG1" s="2">
        <v>1.85076308</v>
      </c>
      <c r="AH1" s="2">
        <v>2.190276627</v>
      </c>
      <c r="AI1" s="2">
        <v>2.977684809</v>
      </c>
      <c r="AJ1" s="2">
        <v>0.4444445118</v>
      </c>
      <c r="AK1" s="2">
        <v>0.3569855532</v>
      </c>
      <c r="AL1" s="2">
        <v>6.017139797</v>
      </c>
      <c r="AM1" s="2">
        <v>0.4074884016</v>
      </c>
      <c r="AN1" s="2">
        <v>0.3191031106</v>
      </c>
      <c r="AO1" s="2">
        <v>2.35854614</v>
      </c>
      <c r="AP1" s="2">
        <v>0.0</v>
      </c>
      <c r="AQ1" s="2">
        <v>0.0</v>
      </c>
      <c r="AR1" s="2">
        <v>82.70367139</v>
      </c>
      <c r="AS1" s="2">
        <v>41.38092685</v>
      </c>
      <c r="AT1" s="2">
        <v>63.13400636</v>
      </c>
      <c r="AU1" s="2">
        <v>17.56757227</v>
      </c>
      <c r="AV1" s="2">
        <v>1.271530674</v>
      </c>
      <c r="AW1" s="2">
        <v>0.0</v>
      </c>
      <c r="AX1" s="2">
        <v>0.0</v>
      </c>
      <c r="AY1" s="2">
        <v>10.23898837</v>
      </c>
      <c r="AZ1" s="2">
        <v>22.26917062</v>
      </c>
      <c r="BA1" s="2">
        <v>7.694211617</v>
      </c>
      <c r="BB1" s="2">
        <v>0.0</v>
      </c>
      <c r="BC1" s="2">
        <v>0.0</v>
      </c>
      <c r="BD1" s="2">
        <v>-0.5409685966</v>
      </c>
      <c r="BE1" s="2">
        <v>1.17855625</v>
      </c>
      <c r="BF1" s="2">
        <v>48.1517047</v>
      </c>
      <c r="BG1" s="2">
        <v>8.403367815</v>
      </c>
      <c r="BH1" s="2">
        <v>0.0</v>
      </c>
      <c r="BI1" s="2">
        <v>0.0</v>
      </c>
      <c r="BJ1" s="2">
        <v>0.0</v>
      </c>
      <c r="BK1" s="2">
        <v>0.0</v>
      </c>
      <c r="BL1" s="2">
        <v>0.0</v>
      </c>
      <c r="BM1" s="2">
        <v>0.0</v>
      </c>
      <c r="BN1" s="2">
        <v>0.0</v>
      </c>
      <c r="BO1" s="2">
        <v>0.0</v>
      </c>
      <c r="BP1" s="2">
        <v>0.0</v>
      </c>
      <c r="BQ1" s="2">
        <v>0.0</v>
      </c>
      <c r="BR1" s="2">
        <v>-4.194434014</v>
      </c>
      <c r="BS1" s="2">
        <v>-0.3536536341</v>
      </c>
      <c r="BT1" s="2">
        <v>9.825083572</v>
      </c>
      <c r="BU1" s="2">
        <v>1.164620202</v>
      </c>
      <c r="BV1" s="2">
        <v>0.7236582144</v>
      </c>
      <c r="BW1" s="2">
        <v>3.352698144</v>
      </c>
      <c r="BX1" s="2">
        <v>9.790623901</v>
      </c>
      <c r="BY1" s="2">
        <v>8.221291471</v>
      </c>
      <c r="BZ1" s="2">
        <v>0.0</v>
      </c>
      <c r="CA1" s="2">
        <v>0.0</v>
      </c>
      <c r="CB1" s="2">
        <v>0.0</v>
      </c>
      <c r="CC1" s="2">
        <v>-0.9199781048</v>
      </c>
      <c r="CD1" s="2">
        <v>2.420891384</v>
      </c>
      <c r="CE1" s="2">
        <v>0.0</v>
      </c>
      <c r="CF1" s="2">
        <v>0.0</v>
      </c>
      <c r="CG1" s="2">
        <v>-0.3789947231</v>
      </c>
      <c r="CH1" s="2">
        <v>1.402531508</v>
      </c>
      <c r="CI1" s="2">
        <v>0.0</v>
      </c>
      <c r="CJ1" s="2">
        <v>0.0</v>
      </c>
      <c r="CK1" s="2">
        <v>1.444851346</v>
      </c>
      <c r="CL1" s="2">
        <v>2.745440303</v>
      </c>
      <c r="CM1" s="2">
        <v>1.444851346</v>
      </c>
      <c r="CN1" s="2">
        <v>0.6509931727</v>
      </c>
      <c r="CO1" s="2">
        <v>1.500312549</v>
      </c>
      <c r="CP1" s="2">
        <v>-0.4929504454</v>
      </c>
      <c r="CQ1" s="2">
        <v>0.07600207434</v>
      </c>
      <c r="CR1" s="2">
        <v>0.05318810642</v>
      </c>
      <c r="CS1" s="2">
        <v>0.0</v>
      </c>
      <c r="CT1" s="2">
        <v>0.0</v>
      </c>
      <c r="CU1" s="2">
        <v>0.0</v>
      </c>
      <c r="CV1" s="2">
        <v>89.18406957</v>
      </c>
      <c r="CW1" s="2">
        <v>-201.2655376</v>
      </c>
      <c r="CX1" s="2">
        <v>-210.4544025</v>
      </c>
      <c r="CY1" s="2">
        <v>36.97080557</v>
      </c>
      <c r="CZ1" s="2">
        <v>1.045655431</v>
      </c>
      <c r="DA1" s="2">
        <v>0.414544949</v>
      </c>
      <c r="DB1" s="2">
        <v>3.471235568</v>
      </c>
      <c r="DC1" s="2">
        <v>1.083894109</v>
      </c>
      <c r="DD1" s="2">
        <v>10.41573536</v>
      </c>
      <c r="DE1" s="2">
        <v>1.162</v>
      </c>
      <c r="DF1" s="2">
        <v>100.0</v>
      </c>
      <c r="DG1" s="2">
        <v>59.752</v>
      </c>
      <c r="DH1" s="2">
        <v>3.80498</v>
      </c>
      <c r="DI1" s="2">
        <v>22.79189351</v>
      </c>
      <c r="DJ1" s="4"/>
      <c r="DK1" s="4"/>
      <c r="DL1" s="4"/>
      <c r="DM1" s="4"/>
      <c r="DN1" s="4"/>
      <c r="DO1" s="4"/>
      <c r="DP1" s="4"/>
      <c r="DQ1" s="4"/>
    </row>
    <row r="2">
      <c r="A2" s="1">
        <v>2.5</v>
      </c>
      <c r="B2" s="1">
        <v>10.41573536</v>
      </c>
      <c r="C2" s="1">
        <v>23.3</v>
      </c>
      <c r="D2" s="1">
        <v>-2.0</v>
      </c>
      <c r="E2" s="2" t="s">
        <v>1</v>
      </c>
      <c r="F2" s="2">
        <v>217.6892313</v>
      </c>
      <c r="G2" s="2">
        <v>97.67950018</v>
      </c>
      <c r="H2" s="2">
        <v>3.198633465</v>
      </c>
      <c r="I2" s="2">
        <v>1.429558197</v>
      </c>
      <c r="J2" s="2">
        <v>1.425738092</v>
      </c>
      <c r="K2" s="2">
        <v>0.6593655492</v>
      </c>
      <c r="L2" s="2">
        <v>2.228607138</v>
      </c>
      <c r="M2" s="2">
        <v>55.86826782</v>
      </c>
      <c r="N2" s="2">
        <v>44.13173218</v>
      </c>
      <c r="O2" s="2">
        <v>3.090984558</v>
      </c>
      <c r="P2" s="3">
        <v>3.12E-6</v>
      </c>
      <c r="Q2" s="3">
        <v>5.71E-4</v>
      </c>
      <c r="R2" s="2">
        <v>1.428582085</v>
      </c>
      <c r="S2" s="3">
        <v>1.02E-6</v>
      </c>
      <c r="T2" s="3">
        <v>7.07E-4</v>
      </c>
      <c r="U2" s="2">
        <v>55.86608674</v>
      </c>
      <c r="V2" s="2">
        <v>0.001179223045</v>
      </c>
      <c r="W2" s="3">
        <v>6.15E-4</v>
      </c>
      <c r="X2" s="2">
        <v>81.65892924</v>
      </c>
      <c r="Y2" s="2">
        <v>18.23486609</v>
      </c>
      <c r="Z2" s="2">
        <v>60.68074885</v>
      </c>
      <c r="AA2" s="2">
        <v>5.595103469</v>
      </c>
      <c r="AB2" s="2">
        <v>4.19029887</v>
      </c>
      <c r="AC2" s="2">
        <v>2.315884147</v>
      </c>
      <c r="AD2" s="2">
        <v>1.837251712</v>
      </c>
      <c r="AE2" s="2">
        <v>2.224530877</v>
      </c>
      <c r="AF2" s="2">
        <v>2.64601688</v>
      </c>
      <c r="AG2" s="2">
        <v>1.918876125</v>
      </c>
      <c r="AH2" s="2">
        <v>2.24557913</v>
      </c>
      <c r="AI2" s="2">
        <v>2.966216186</v>
      </c>
      <c r="AJ2" s="2">
        <v>0.4519295313</v>
      </c>
      <c r="AK2" s="2">
        <v>0.3540071814</v>
      </c>
      <c r="AL2" s="2">
        <v>6.23370548</v>
      </c>
      <c r="AM2" s="2">
        <v>0.4411574231</v>
      </c>
      <c r="AN2" s="2">
        <v>0.33117899</v>
      </c>
      <c r="AO2" s="2">
        <v>2.495094291</v>
      </c>
      <c r="AP2" s="2">
        <v>0.0</v>
      </c>
      <c r="AQ2" s="2">
        <v>0.0</v>
      </c>
      <c r="AR2" s="2">
        <v>93.76402123</v>
      </c>
      <c r="AS2" s="2">
        <v>48.43060857</v>
      </c>
      <c r="AT2" s="2">
        <v>69.92592598</v>
      </c>
      <c r="AU2" s="2">
        <v>20.79997178</v>
      </c>
      <c r="AV2" s="2">
        <v>1.753148326</v>
      </c>
      <c r="AW2" s="2">
        <v>0.0</v>
      </c>
      <c r="AX2" s="2">
        <v>0.0</v>
      </c>
      <c r="AY2" s="2">
        <v>12.63108088</v>
      </c>
      <c r="AZ2" s="2">
        <v>26.00494301</v>
      </c>
      <c r="BA2" s="2">
        <v>8.382348902</v>
      </c>
      <c r="BB2" s="2">
        <v>0.0</v>
      </c>
      <c r="BC2" s="2">
        <v>0.0</v>
      </c>
      <c r="BD2" s="2">
        <v>-0.468173188</v>
      </c>
      <c r="BE2" s="2">
        <v>1.412235769</v>
      </c>
      <c r="BF2" s="2">
        <v>52.20739125</v>
      </c>
      <c r="BG2" s="2">
        <v>9.206474204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0.0</v>
      </c>
      <c r="BO2" s="2">
        <v>0.0</v>
      </c>
      <c r="BP2" s="2">
        <v>0.0</v>
      </c>
      <c r="BQ2" s="2">
        <v>0.0</v>
      </c>
      <c r="BR2" s="2">
        <v>-4.387426587</v>
      </c>
      <c r="BS2" s="2">
        <v>-0.4166190979</v>
      </c>
      <c r="BT2" s="2">
        <v>11.56192114</v>
      </c>
      <c r="BU2" s="2">
        <v>1.484042225</v>
      </c>
      <c r="BV2" s="2">
        <v>0.5748919258</v>
      </c>
      <c r="BW2" s="2">
        <v>3.16038396</v>
      </c>
      <c r="BX2" s="2">
        <v>12.05339803</v>
      </c>
      <c r="BY2" s="2">
        <v>8.905582516</v>
      </c>
      <c r="BZ2" s="2">
        <v>0.0</v>
      </c>
      <c r="CA2" s="2">
        <v>0.0</v>
      </c>
      <c r="CB2" s="2">
        <v>0.0</v>
      </c>
      <c r="CC2" s="2">
        <v>-0.9505146995</v>
      </c>
      <c r="CD2" s="2">
        <v>2.394636808</v>
      </c>
      <c r="CE2" s="2">
        <v>0.0</v>
      </c>
      <c r="CF2" s="2">
        <v>0.0</v>
      </c>
      <c r="CG2" s="2">
        <v>-0.5026901682</v>
      </c>
      <c r="CH2" s="2">
        <v>1.501268488</v>
      </c>
      <c r="CI2" s="2">
        <v>0.0</v>
      </c>
      <c r="CJ2" s="2">
        <v>0.0</v>
      </c>
      <c r="CK2" s="2">
        <v>1.672967491</v>
      </c>
      <c r="CL2" s="2">
        <v>2.305357453</v>
      </c>
      <c r="CM2" s="2">
        <v>1.672967491</v>
      </c>
      <c r="CN2" s="2">
        <v>0.5913923354</v>
      </c>
      <c r="CO2" s="2">
        <v>1.415991628</v>
      </c>
      <c r="CP2" s="2">
        <v>0.2823470706</v>
      </c>
      <c r="CQ2" s="2">
        <v>-0.08737344415</v>
      </c>
      <c r="CR2" s="2">
        <v>0.06101288516</v>
      </c>
      <c r="CS2" s="2">
        <v>0.0</v>
      </c>
      <c r="CT2" s="2">
        <v>0.0</v>
      </c>
      <c r="CU2" s="2">
        <v>0.0</v>
      </c>
      <c r="CV2" s="2">
        <v>97.67950018</v>
      </c>
      <c r="CW2" s="2">
        <v>-217.6892313</v>
      </c>
      <c r="CX2" s="2">
        <v>-237.4196145</v>
      </c>
      <c r="CY2" s="2">
        <v>42.10566129</v>
      </c>
      <c r="CZ2" s="2">
        <v>1.09063555</v>
      </c>
      <c r="DA2" s="2">
        <v>0.4310593442</v>
      </c>
      <c r="DB2" s="2">
        <v>3.471187735</v>
      </c>
      <c r="DC2" s="2">
        <v>1.084040711</v>
      </c>
      <c r="DD2" s="2">
        <v>10.41573536</v>
      </c>
      <c r="DE2" s="2">
        <v>1.162</v>
      </c>
      <c r="DF2" s="2">
        <v>100.0</v>
      </c>
      <c r="DG2" s="2">
        <v>44.43</v>
      </c>
      <c r="DH2" s="2">
        <v>9.613893333</v>
      </c>
      <c r="DI2" s="2">
        <v>23.073344</v>
      </c>
      <c r="DJ2" s="4"/>
      <c r="DK2" s="4"/>
      <c r="DL2" s="4"/>
      <c r="DM2" s="4"/>
      <c r="DN2" s="4"/>
      <c r="DO2" s="4"/>
      <c r="DP2" s="4"/>
      <c r="DQ2" s="4"/>
    </row>
    <row r="3">
      <c r="A3" s="1">
        <v>2.7</v>
      </c>
      <c r="B3" s="1">
        <v>10.41573536</v>
      </c>
      <c r="C3" s="1">
        <v>23.3</v>
      </c>
      <c r="D3" s="1">
        <v>-6.0</v>
      </c>
      <c r="E3" s="2" t="s">
        <v>0</v>
      </c>
      <c r="F3" s="2">
        <v>203.1387744</v>
      </c>
      <c r="G3" s="2">
        <v>91.42176994</v>
      </c>
      <c r="H3" s="2">
        <v>2.984835207</v>
      </c>
      <c r="I3" s="2">
        <v>1.337997078</v>
      </c>
      <c r="J3" s="2">
        <v>1.330462947</v>
      </c>
      <c r="K3" s="2">
        <v>0.6171443054</v>
      </c>
      <c r="L3" s="2">
        <v>2.221995642</v>
      </c>
      <c r="M3" s="2">
        <v>57.79807373</v>
      </c>
      <c r="N3" s="2">
        <v>42.20192627</v>
      </c>
      <c r="O3" s="2">
        <v>2.891524011</v>
      </c>
      <c r="P3" s="3">
        <v>5.97E-6</v>
      </c>
      <c r="Q3" s="3">
        <v>8.45E-4</v>
      </c>
      <c r="R3" s="2">
        <v>1.337827459</v>
      </c>
      <c r="S3" s="3">
        <v>6.67E-7</v>
      </c>
      <c r="T3" s="3">
        <v>6.11E-4</v>
      </c>
      <c r="U3" s="2">
        <v>57.81539538</v>
      </c>
      <c r="V3" s="3">
        <v>4.11E-4</v>
      </c>
      <c r="W3" s="3">
        <v>3.51E-4</v>
      </c>
      <c r="X3" s="2">
        <v>80.07001016</v>
      </c>
      <c r="Y3" s="2">
        <v>17.97229511</v>
      </c>
      <c r="Z3" s="2">
        <v>59.48723909</v>
      </c>
      <c r="AA3" s="2">
        <v>5.49175466</v>
      </c>
      <c r="AB3" s="2">
        <v>4.053644891</v>
      </c>
      <c r="AC3" s="2">
        <v>2.28331269</v>
      </c>
      <c r="AD3" s="2">
        <v>1.847518163</v>
      </c>
      <c r="AE3" s="2">
        <v>2.204186474</v>
      </c>
      <c r="AF3" s="2">
        <v>2.589117215</v>
      </c>
      <c r="AG3" s="2">
        <v>1.86612106</v>
      </c>
      <c r="AH3" s="2">
        <v>2.198380984</v>
      </c>
      <c r="AI3" s="2">
        <v>2.990881424</v>
      </c>
      <c r="AJ3" s="2">
        <v>0.4383585966</v>
      </c>
      <c r="AK3" s="2">
        <v>0.3552388684</v>
      </c>
      <c r="AL3" s="2">
        <v>6.112943195</v>
      </c>
      <c r="AM3" s="2">
        <v>0.4119432441</v>
      </c>
      <c r="AN3" s="2">
        <v>0.3248335086</v>
      </c>
      <c r="AO3" s="2">
        <v>2.395949772</v>
      </c>
      <c r="AP3" s="2">
        <v>0.0</v>
      </c>
      <c r="AQ3" s="2">
        <v>0.0</v>
      </c>
      <c r="AR3" s="2">
        <v>85.17854763</v>
      </c>
      <c r="AS3" s="2">
        <v>44.01978348</v>
      </c>
      <c r="AT3" s="2">
        <v>64.18454182</v>
      </c>
      <c r="AU3" s="2">
        <v>18.93796317</v>
      </c>
      <c r="AV3" s="2">
        <v>1.340119465</v>
      </c>
      <c r="AW3" s="2">
        <v>0.0</v>
      </c>
      <c r="AX3" s="2">
        <v>0.0</v>
      </c>
      <c r="AY3" s="2">
        <v>11.25152856</v>
      </c>
      <c r="AZ3" s="2">
        <v>23.84539344</v>
      </c>
      <c r="BA3" s="2">
        <v>7.720098308</v>
      </c>
      <c r="BB3" s="2">
        <v>0.0</v>
      </c>
      <c r="BC3" s="2">
        <v>0.0</v>
      </c>
      <c r="BD3" s="2">
        <v>-0.624196294</v>
      </c>
      <c r="BE3" s="2">
        <v>1.202763164</v>
      </c>
      <c r="BF3" s="2">
        <v>45.98728597</v>
      </c>
      <c r="BG3" s="2">
        <v>8.111726566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-4.231467097</v>
      </c>
      <c r="BS3" s="2">
        <v>-0.3771379337</v>
      </c>
      <c r="BT3" s="2">
        <v>8.76719836</v>
      </c>
      <c r="BU3" s="2">
        <v>1.245695161</v>
      </c>
      <c r="BV3" s="2">
        <v>0.3702249013</v>
      </c>
      <c r="BW3" s="2">
        <v>2.928421969</v>
      </c>
      <c r="BX3" s="2">
        <v>11.45246721</v>
      </c>
      <c r="BY3" s="2">
        <v>8.942680244</v>
      </c>
      <c r="BZ3" s="2">
        <v>0.0</v>
      </c>
      <c r="CA3" s="2">
        <v>0.0</v>
      </c>
      <c r="CB3" s="2">
        <v>0.0</v>
      </c>
      <c r="CC3" s="2">
        <v>-0.9654843953</v>
      </c>
      <c r="CD3" s="2">
        <v>2.438989263</v>
      </c>
      <c r="CE3" s="2">
        <v>0.0</v>
      </c>
      <c r="CF3" s="2">
        <v>0.0</v>
      </c>
      <c r="CG3" s="2">
        <v>-0.4101257763</v>
      </c>
      <c r="CH3" s="2">
        <v>1.399869105</v>
      </c>
      <c r="CI3" s="2">
        <v>0.0</v>
      </c>
      <c r="CJ3" s="2">
        <v>0.0</v>
      </c>
      <c r="CK3" s="2">
        <v>1.603669435</v>
      </c>
      <c r="CL3" s="2">
        <v>2.529775992</v>
      </c>
      <c r="CM3" s="2">
        <v>1.603669435</v>
      </c>
      <c r="CN3" s="2">
        <v>0.5423135212</v>
      </c>
      <c r="CO3" s="2">
        <v>1.420626004</v>
      </c>
      <c r="CP3" s="2">
        <v>0.5541119466</v>
      </c>
      <c r="CQ3" s="2">
        <v>-0.1714920741</v>
      </c>
      <c r="CR3" s="2">
        <v>0.05791788275</v>
      </c>
      <c r="CS3" s="2">
        <v>0.0</v>
      </c>
      <c r="CT3" s="2">
        <v>0.0</v>
      </c>
      <c r="CU3" s="2">
        <v>0.0</v>
      </c>
      <c r="CV3" s="2">
        <v>91.42176994</v>
      </c>
      <c r="CW3" s="2">
        <v>-203.1387744</v>
      </c>
      <c r="CX3" s="2">
        <v>-213.7437034</v>
      </c>
      <c r="CY3" s="2">
        <v>38.75583626</v>
      </c>
      <c r="CZ3" s="2">
        <v>1.052205341</v>
      </c>
      <c r="DA3" s="2">
        <v>0.4239234953</v>
      </c>
      <c r="DB3" s="2">
        <v>3.471128038</v>
      </c>
      <c r="DC3" s="2">
        <v>1.084022866</v>
      </c>
      <c r="DD3" s="2">
        <v>10.41573536</v>
      </c>
      <c r="DE3" s="2">
        <v>1.162</v>
      </c>
      <c r="DF3" s="2">
        <v>100.0</v>
      </c>
      <c r="DG3" s="2">
        <v>42.065</v>
      </c>
      <c r="DH3" s="2">
        <v>6.408478889</v>
      </c>
      <c r="DI3" s="2">
        <v>23.070524</v>
      </c>
      <c r="DJ3" s="4"/>
      <c r="DK3" s="4"/>
      <c r="DL3" s="4"/>
      <c r="DM3" s="4"/>
      <c r="DN3" s="4"/>
      <c r="DO3" s="4"/>
      <c r="DP3" s="4"/>
      <c r="DQ3" s="4"/>
    </row>
    <row r="4">
      <c r="A4" s="1">
        <v>2.8</v>
      </c>
      <c r="B4" s="1">
        <v>10.41573536</v>
      </c>
      <c r="C4" s="1">
        <v>23.3</v>
      </c>
      <c r="D4" s="1">
        <v>-8.0</v>
      </c>
      <c r="E4" s="2" t="s">
        <v>0</v>
      </c>
      <c r="F4" s="2">
        <v>195.7050623</v>
      </c>
      <c r="G4" s="2">
        <v>87.29811182</v>
      </c>
      <c r="H4" s="2">
        <v>2.875607387</v>
      </c>
      <c r="I4" s="2">
        <v>1.281634659</v>
      </c>
      <c r="J4" s="2">
        <v>1.285777569</v>
      </c>
      <c r="K4" s="2">
        <v>0.5912027353</v>
      </c>
      <c r="L4" s="2">
        <v>2.241801778</v>
      </c>
      <c r="M4" s="2">
        <v>59.03937431</v>
      </c>
      <c r="N4" s="2">
        <v>40.96062569</v>
      </c>
      <c r="O4" s="2">
        <v>2.771948657</v>
      </c>
      <c r="P4" s="3">
        <v>9.18E-5</v>
      </c>
      <c r="Q4" s="2">
        <v>0.003456105391</v>
      </c>
      <c r="R4" s="2">
        <v>1.276638302</v>
      </c>
      <c r="S4" s="3">
        <v>1.47E-5</v>
      </c>
      <c r="T4" s="2">
        <v>0.0030051501</v>
      </c>
      <c r="U4" s="2">
        <v>59.1435852</v>
      </c>
      <c r="V4" s="2">
        <v>0.006999115559</v>
      </c>
      <c r="W4" s="2">
        <v>0.001414535772</v>
      </c>
      <c r="X4" s="2">
        <v>77.94872537</v>
      </c>
      <c r="Y4" s="2">
        <v>17.68164946</v>
      </c>
      <c r="Z4" s="2">
        <v>57.8643356</v>
      </c>
      <c r="AA4" s="2">
        <v>5.465885917</v>
      </c>
      <c r="AB4" s="2">
        <v>3.886900391</v>
      </c>
      <c r="AC4" s="2">
        <v>2.230160983</v>
      </c>
      <c r="AD4" s="2">
        <v>1.828356293</v>
      </c>
      <c r="AE4" s="2">
        <v>2.169826849</v>
      </c>
      <c r="AF4" s="2">
        <v>2.574858684</v>
      </c>
      <c r="AG4" s="2">
        <v>1.792132337</v>
      </c>
      <c r="AH4" s="2">
        <v>2.163029758</v>
      </c>
      <c r="AI4" s="2">
        <v>2.972938087</v>
      </c>
      <c r="AJ4" s="2">
        <v>0.4617742245</v>
      </c>
      <c r="AK4" s="2">
        <v>0.3640962555</v>
      </c>
      <c r="AL4" s="2">
        <v>5.847215703</v>
      </c>
      <c r="AM4" s="2">
        <v>0.430890305</v>
      </c>
      <c r="AN4" s="2">
        <v>0.3059731453</v>
      </c>
      <c r="AO4" s="2">
        <v>2.299062207</v>
      </c>
      <c r="AP4" s="2">
        <v>0.0</v>
      </c>
      <c r="AQ4" s="2">
        <v>0.0</v>
      </c>
      <c r="AR4" s="2">
        <v>79.34498126</v>
      </c>
      <c r="AS4" s="2">
        <v>40.40654338</v>
      </c>
      <c r="AT4" s="2">
        <v>60.10449278</v>
      </c>
      <c r="AU4" s="2">
        <v>17.40194492</v>
      </c>
      <c r="AV4" s="2">
        <v>1.22968491</v>
      </c>
      <c r="AW4" s="2">
        <v>0.0</v>
      </c>
      <c r="AX4" s="2">
        <v>0.0</v>
      </c>
      <c r="AY4" s="2">
        <v>10.12507423</v>
      </c>
      <c r="AZ4" s="2">
        <v>21.85224552</v>
      </c>
      <c r="BA4" s="2">
        <v>7.464120925</v>
      </c>
      <c r="BB4" s="2">
        <v>0.0</v>
      </c>
      <c r="BC4" s="2">
        <v>0.0</v>
      </c>
      <c r="BD4" s="2">
        <v>-0.62082626</v>
      </c>
      <c r="BE4" s="2">
        <v>0.9651027131</v>
      </c>
      <c r="BF4" s="2">
        <v>44.19101398</v>
      </c>
      <c r="BG4" s="2">
        <v>7.721234207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-4.124793209</v>
      </c>
      <c r="BS4" s="2">
        <v>-0.3378061789</v>
      </c>
      <c r="BT4" s="2">
        <v>7.749040262</v>
      </c>
      <c r="BU4" s="2">
        <v>0.8773685663</v>
      </c>
      <c r="BV4" s="2">
        <v>0.2766098552</v>
      </c>
      <c r="BW4" s="2">
        <v>3.238923259</v>
      </c>
      <c r="BX4" s="2">
        <v>10.77556927</v>
      </c>
      <c r="BY4" s="2">
        <v>8.563826168</v>
      </c>
      <c r="BZ4" s="2">
        <v>0.0</v>
      </c>
      <c r="CA4" s="2">
        <v>0.0</v>
      </c>
      <c r="CB4" s="2">
        <v>0.0</v>
      </c>
      <c r="CC4" s="2">
        <v>-0.9081103282</v>
      </c>
      <c r="CD4" s="2">
        <v>2.430347239</v>
      </c>
      <c r="CE4" s="2">
        <v>0.0</v>
      </c>
      <c r="CF4" s="2">
        <v>0.0</v>
      </c>
      <c r="CG4" s="2">
        <v>-0.3616956793</v>
      </c>
      <c r="CH4" s="2">
        <v>1.334429349</v>
      </c>
      <c r="CI4" s="2">
        <v>0.0</v>
      </c>
      <c r="CJ4" s="2">
        <v>0.0</v>
      </c>
      <c r="CK4" s="2">
        <v>1.704467459</v>
      </c>
      <c r="CL4" s="2">
        <v>2.873265609</v>
      </c>
      <c r="CM4" s="2">
        <v>1.704467459</v>
      </c>
      <c r="CN4" s="2">
        <v>0.5830738798</v>
      </c>
      <c r="CO4" s="2">
        <v>1.529754195</v>
      </c>
      <c r="CP4" s="2">
        <v>0.6598695491</v>
      </c>
      <c r="CQ4" s="2">
        <v>-0.1754644597</v>
      </c>
      <c r="CR4" s="2">
        <v>0.05825779972</v>
      </c>
      <c r="CS4" s="2">
        <v>0.0</v>
      </c>
      <c r="CT4" s="2">
        <v>0.0</v>
      </c>
      <c r="CU4" s="2">
        <v>0.0</v>
      </c>
      <c r="CV4" s="2">
        <v>87.29811182</v>
      </c>
      <c r="CW4" s="2">
        <v>-195.7050623</v>
      </c>
      <c r="CX4" s="2">
        <v>-201.0844139</v>
      </c>
      <c r="CY4" s="2">
        <v>36.10923105</v>
      </c>
      <c r="CZ4" s="2">
        <v>1.027487034</v>
      </c>
      <c r="DA4" s="2">
        <v>0.4136312951</v>
      </c>
      <c r="DB4" s="2">
        <v>3.471130814</v>
      </c>
      <c r="DC4" s="2">
        <v>1.083921456</v>
      </c>
      <c r="DD4" s="2">
        <v>10.4</v>
      </c>
      <c r="DE4" s="2">
        <v>1.162</v>
      </c>
      <c r="DF4" s="2">
        <v>100.0</v>
      </c>
      <c r="DG4" s="2">
        <v>378.264</v>
      </c>
      <c r="DH4" s="2">
        <v>65.28538333</v>
      </c>
      <c r="DI4" s="2">
        <v>417.4553819</v>
      </c>
      <c r="DJ4" s="4"/>
      <c r="DK4" s="4"/>
      <c r="DL4" s="4"/>
      <c r="DM4" s="4"/>
      <c r="DN4" s="4"/>
      <c r="DO4" s="4"/>
      <c r="DP4" s="4"/>
      <c r="DQ4" s="4"/>
    </row>
    <row r="8">
      <c r="A8" s="5"/>
    </row>
    <row r="9">
      <c r="A9" s="5">
        <v>3.1</v>
      </c>
      <c r="B9" s="5">
        <v>15.55654895</v>
      </c>
      <c r="C9" s="5">
        <v>34.8</v>
      </c>
      <c r="D9" s="5">
        <v>-8.0</v>
      </c>
      <c r="E9" s="5" t="s">
        <v>0</v>
      </c>
      <c r="F9" s="5">
        <v>438.0410244</v>
      </c>
      <c r="G9" s="5">
        <v>193.6042779</v>
      </c>
      <c r="H9" s="5">
        <v>2.885331193</v>
      </c>
      <c r="I9" s="5">
        <v>1.270323922</v>
      </c>
      <c r="J9" s="5">
        <v>1.286230335</v>
      </c>
      <c r="K9" s="5">
        <v>0.5859852277</v>
      </c>
      <c r="L9" s="5">
        <v>2.262558602</v>
      </c>
      <c r="M9" s="5">
        <v>59.720403</v>
      </c>
      <c r="N9" s="5">
        <v>40.279597</v>
      </c>
      <c r="O9" s="5">
        <v>2.777209531</v>
      </c>
      <c r="P9" s="6">
        <v>2.59E-4</v>
      </c>
      <c r="Q9" s="5">
        <v>0.00579739447</v>
      </c>
      <c r="R9" s="5">
        <v>1.263728635</v>
      </c>
      <c r="S9" s="6">
        <v>4.19E-5</v>
      </c>
      <c r="T9" s="5">
        <v>0.005121491925</v>
      </c>
      <c r="U9" s="5">
        <v>59.98995681</v>
      </c>
      <c r="V9" s="5">
        <v>0.05457402383</v>
      </c>
      <c r="W9" s="5">
        <v>0.003894165805</v>
      </c>
      <c r="X9" s="5">
        <v>177.7796934</v>
      </c>
      <c r="Y9" s="5">
        <v>39.84610027</v>
      </c>
      <c r="Z9" s="5">
        <v>132.0901154</v>
      </c>
      <c r="AA9" s="5">
        <v>12.31316644</v>
      </c>
      <c r="AB9" s="5">
        <v>8.901830239</v>
      </c>
      <c r="AC9" s="5">
        <v>5.047596349</v>
      </c>
      <c r="AD9" s="5">
        <v>4.241120163</v>
      </c>
      <c r="AE9" s="5">
        <v>4.638752485</v>
      </c>
      <c r="AF9" s="5">
        <v>5.799856211</v>
      </c>
      <c r="AG9" s="5">
        <v>4.094182909</v>
      </c>
      <c r="AH9" s="5">
        <v>4.879710698</v>
      </c>
      <c r="AI9" s="5">
        <v>6.849382871</v>
      </c>
      <c r="AJ9" s="5">
        <v>1.040733408</v>
      </c>
      <c r="AK9" s="5">
        <v>0.8247229793</v>
      </c>
      <c r="AL9" s="5">
        <v>13.32040841</v>
      </c>
      <c r="AM9" s="5">
        <v>0.9621244711</v>
      </c>
      <c r="AN9" s="5">
        <v>0.6812564074</v>
      </c>
      <c r="AO9" s="5">
        <v>5.091451348</v>
      </c>
      <c r="AP9" s="5">
        <v>0.0</v>
      </c>
      <c r="AQ9" s="5">
        <v>0.0</v>
      </c>
      <c r="AR9" s="5">
        <v>176.7263981</v>
      </c>
      <c r="AS9" s="5">
        <v>90.29134325</v>
      </c>
      <c r="AT9" s="5">
        <v>133.6328596</v>
      </c>
      <c r="AU9" s="5">
        <v>38.79226741</v>
      </c>
      <c r="AV9" s="5">
        <v>2.850838388</v>
      </c>
      <c r="AW9" s="5">
        <v>0.0</v>
      </c>
      <c r="AX9" s="5">
        <v>0.0</v>
      </c>
      <c r="AY9" s="5">
        <v>22.20126305</v>
      </c>
      <c r="AZ9" s="5">
        <v>48.92322191</v>
      </c>
      <c r="BA9" s="5">
        <v>17.05933715</v>
      </c>
      <c r="BB9" s="5">
        <v>0.0</v>
      </c>
      <c r="BC9" s="5">
        <v>0.0</v>
      </c>
      <c r="BD9" s="5">
        <v>-1.400405593</v>
      </c>
      <c r="BE9" s="5">
        <v>2.10752114</v>
      </c>
      <c r="BF9" s="5">
        <v>99.46756868</v>
      </c>
      <c r="BG9" s="5">
        <v>17.16211749</v>
      </c>
      <c r="BH9" s="5">
        <v>0.0</v>
      </c>
      <c r="BI9" s="5">
        <v>0.0</v>
      </c>
      <c r="BJ9" s="5">
        <v>0.0</v>
      </c>
      <c r="BK9" s="5">
        <v>0.0</v>
      </c>
      <c r="BL9" s="5">
        <v>0.0</v>
      </c>
      <c r="BM9" s="5">
        <v>0.0</v>
      </c>
      <c r="BN9" s="5">
        <v>0.0</v>
      </c>
      <c r="BO9" s="5">
        <v>0.0</v>
      </c>
      <c r="BP9" s="5">
        <v>0.0</v>
      </c>
      <c r="BQ9" s="5">
        <v>0.0</v>
      </c>
      <c r="BR9" s="5">
        <v>-9.461365144</v>
      </c>
      <c r="BS9" s="5">
        <v>-0.8454730889</v>
      </c>
      <c r="BT9" s="5">
        <v>17.0123693</v>
      </c>
      <c r="BU9" s="5">
        <v>1.817843823</v>
      </c>
      <c r="BV9" s="5">
        <v>0.2895013497</v>
      </c>
      <c r="BW9" s="5">
        <v>6.731704704</v>
      </c>
      <c r="BX9" s="5">
        <v>22.27860214</v>
      </c>
      <c r="BY9" s="5">
        <v>19.36543083</v>
      </c>
      <c r="BZ9" s="5">
        <v>0.0</v>
      </c>
      <c r="CA9" s="5">
        <v>0.0</v>
      </c>
      <c r="CB9" s="5">
        <v>0.0</v>
      </c>
      <c r="CC9" s="5">
        <v>-1.870832399</v>
      </c>
      <c r="CD9" s="5">
        <v>5.090917656</v>
      </c>
      <c r="CE9" s="5">
        <v>0.0</v>
      </c>
      <c r="CF9" s="5">
        <v>0.0</v>
      </c>
      <c r="CG9" s="5">
        <v>-0.769979801</v>
      </c>
      <c r="CH9" s="5">
        <v>2.943866394</v>
      </c>
      <c r="CI9" s="5">
        <v>0.0</v>
      </c>
      <c r="CJ9" s="5">
        <v>0.0</v>
      </c>
      <c r="CK9" s="5">
        <v>3.581474439</v>
      </c>
      <c r="CL9" s="5">
        <v>6.109884352</v>
      </c>
      <c r="CM9" s="5">
        <v>3.581474439</v>
      </c>
      <c r="CN9" s="5">
        <v>1.228157978</v>
      </c>
      <c r="CO9" s="5">
        <v>3.438011818</v>
      </c>
      <c r="CP9" s="5">
        <v>1.444584269</v>
      </c>
      <c r="CQ9" s="5">
        <v>-0.4388729624</v>
      </c>
      <c r="CR9" s="5">
        <v>0.08873697335</v>
      </c>
      <c r="CS9" s="5">
        <v>0.0</v>
      </c>
      <c r="CT9" s="5">
        <v>0.0</v>
      </c>
      <c r="CU9" s="5">
        <v>0.0</v>
      </c>
      <c r="CV9" s="5">
        <v>193.6042779</v>
      </c>
      <c r="CW9" s="5">
        <v>-438.0410244</v>
      </c>
      <c r="CX9" s="5">
        <v>-444.1408507</v>
      </c>
      <c r="CY9" s="5">
        <v>80.80341163</v>
      </c>
      <c r="CZ9" s="5">
        <v>1.01392524</v>
      </c>
      <c r="DA9" s="5">
        <v>0.4173637716</v>
      </c>
      <c r="DB9" s="5">
        <v>3.471130814</v>
      </c>
      <c r="DC9" s="5">
        <v>1.083921456</v>
      </c>
      <c r="DD9" s="5">
        <v>15.55654895</v>
      </c>
      <c r="DE9" s="5">
        <v>1.162</v>
      </c>
      <c r="DF9" s="5">
        <v>100.0</v>
      </c>
      <c r="DG9" s="5">
        <v>662.161</v>
      </c>
      <c r="DH9" s="5">
        <v>98.43703556</v>
      </c>
      <c r="DI9" s="5">
        <v>558.0682331</v>
      </c>
    </row>
    <row r="10">
      <c r="A10" s="5">
        <v>3.2</v>
      </c>
      <c r="B10" s="5">
        <v>15.55654895</v>
      </c>
      <c r="C10" s="5">
        <v>34.8</v>
      </c>
      <c r="D10" s="5">
        <v>-6.0</v>
      </c>
      <c r="E10" s="5" t="s">
        <v>2</v>
      </c>
      <c r="F10" s="5">
        <v>463.0491947</v>
      </c>
      <c r="G10" s="5">
        <v>200.6650342</v>
      </c>
      <c r="H10" s="5">
        <v>3.05005744</v>
      </c>
      <c r="I10" s="5">
        <v>1.317631939</v>
      </c>
      <c r="J10" s="5">
        <v>1.360673581</v>
      </c>
      <c r="K10" s="5">
        <v>0.6077478785</v>
      </c>
      <c r="L10" s="5">
        <v>2.307572899</v>
      </c>
      <c r="M10" s="5">
        <v>58.06107295</v>
      </c>
      <c r="N10" s="5">
        <v>41.93892705</v>
      </c>
      <c r="O10" s="5">
        <v>2.929842417</v>
      </c>
      <c r="P10" s="6">
        <v>2.09E-4</v>
      </c>
      <c r="Q10" s="5">
        <v>0.004938563015</v>
      </c>
      <c r="R10" s="5">
        <v>1.31248043</v>
      </c>
      <c r="S10" s="6">
        <v>1.57E-5</v>
      </c>
      <c r="T10" s="5">
        <v>0.003015869476</v>
      </c>
      <c r="U10" s="5">
        <v>57.96111672</v>
      </c>
      <c r="V10" s="5">
        <v>0.005249856661</v>
      </c>
      <c r="W10" s="5">
        <v>0.001250077616</v>
      </c>
      <c r="X10" s="5">
        <v>181.145476</v>
      </c>
      <c r="Y10" s="5">
        <v>40.43747897</v>
      </c>
      <c r="Z10" s="5">
        <v>134.5254192</v>
      </c>
      <c r="AA10" s="5">
        <v>12.3674704</v>
      </c>
      <c r="AB10" s="5">
        <v>9.129056497</v>
      </c>
      <c r="AC10" s="5">
        <v>5.171608354</v>
      </c>
      <c r="AD10" s="5">
        <v>4.275621376</v>
      </c>
      <c r="AE10" s="5">
        <v>4.781048611</v>
      </c>
      <c r="AF10" s="5">
        <v>5.821411322</v>
      </c>
      <c r="AG10" s="5">
        <v>4.209923303</v>
      </c>
      <c r="AH10" s="5">
        <v>4.963138872</v>
      </c>
      <c r="AI10" s="5">
        <v>6.865814092</v>
      </c>
      <c r="AJ10" s="5">
        <v>1.018184237</v>
      </c>
      <c r="AK10" s="5">
        <v>0.8303502287</v>
      </c>
      <c r="AL10" s="5">
        <v>13.82776569</v>
      </c>
      <c r="AM10" s="5">
        <v>0.9110284178</v>
      </c>
      <c r="AN10" s="5">
        <v>0.7113595738</v>
      </c>
      <c r="AO10" s="5">
        <v>5.307940688</v>
      </c>
      <c r="AP10" s="5">
        <v>0.0</v>
      </c>
      <c r="AQ10" s="5">
        <v>0.0</v>
      </c>
      <c r="AR10" s="5">
        <v>189.181539</v>
      </c>
      <c r="AS10" s="5">
        <v>96.65091747</v>
      </c>
      <c r="AT10" s="5">
        <v>143.2747662</v>
      </c>
      <c r="AU10" s="5">
        <v>41.30989549</v>
      </c>
      <c r="AV10" s="5">
        <v>3.00362133</v>
      </c>
      <c r="AW10" s="5">
        <v>0.0</v>
      </c>
      <c r="AX10" s="5">
        <v>0.0</v>
      </c>
      <c r="AY10" s="5">
        <v>24.69455656</v>
      </c>
      <c r="AZ10" s="5">
        <v>51.90233854</v>
      </c>
      <c r="BA10" s="5">
        <v>17.55391114</v>
      </c>
      <c r="BB10" s="5">
        <v>0.0</v>
      </c>
      <c r="BC10" s="5">
        <v>0.0</v>
      </c>
      <c r="BD10" s="5">
        <v>-1.410365316</v>
      </c>
      <c r="BE10" s="5">
        <v>2.50011122</v>
      </c>
      <c r="BF10" s="5">
        <v>102.8065053</v>
      </c>
      <c r="BG10" s="5">
        <v>18.11355751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0.0</v>
      </c>
      <c r="BN10" s="5">
        <v>0.0</v>
      </c>
      <c r="BO10" s="5">
        <v>0.0</v>
      </c>
      <c r="BP10" s="5">
        <v>0.0</v>
      </c>
      <c r="BQ10" s="5">
        <v>0.0</v>
      </c>
      <c r="BR10" s="5">
        <v>-9.491059673</v>
      </c>
      <c r="BS10" s="5">
        <v>-0.8611513483</v>
      </c>
      <c r="BT10" s="5">
        <v>20.96405803</v>
      </c>
      <c r="BU10" s="5">
        <v>2.826899584</v>
      </c>
      <c r="BV10" s="5">
        <v>0.8213127719</v>
      </c>
      <c r="BW10" s="5">
        <v>7.744770036</v>
      </c>
      <c r="BX10" s="5">
        <v>24.56815208</v>
      </c>
      <c r="BY10" s="5">
        <v>17.94147719</v>
      </c>
      <c r="BZ10" s="5">
        <v>0.0</v>
      </c>
      <c r="CA10" s="5">
        <v>0.0</v>
      </c>
      <c r="CB10" s="5">
        <v>0.0</v>
      </c>
      <c r="CC10" s="5">
        <v>-2.072530458</v>
      </c>
      <c r="CD10" s="5">
        <v>5.111350029</v>
      </c>
      <c r="CE10" s="5">
        <v>0.0</v>
      </c>
      <c r="CF10" s="5">
        <v>0.0</v>
      </c>
      <c r="CG10" s="5">
        <v>-0.9244589725</v>
      </c>
      <c r="CH10" s="5">
        <v>3.029637742</v>
      </c>
      <c r="CI10" s="5">
        <v>0.0</v>
      </c>
      <c r="CJ10" s="5">
        <v>0.0</v>
      </c>
      <c r="CK10" s="5">
        <v>3.328261221</v>
      </c>
      <c r="CL10" s="5">
        <v>5.607604098</v>
      </c>
      <c r="CM10" s="5">
        <v>3.328261221</v>
      </c>
      <c r="CN10" s="5">
        <v>0.9007041344</v>
      </c>
      <c r="CO10" s="5">
        <v>3.092161949</v>
      </c>
      <c r="CP10" s="5">
        <v>1.341086158</v>
      </c>
      <c r="CQ10" s="5">
        <v>-0.4230126897</v>
      </c>
      <c r="CR10" s="5">
        <v>0.08931020027</v>
      </c>
      <c r="CS10" s="5">
        <v>0.0</v>
      </c>
      <c r="CT10" s="5">
        <v>0.0</v>
      </c>
      <c r="CU10" s="5">
        <v>0.0</v>
      </c>
      <c r="CV10" s="5">
        <v>200.6650342</v>
      </c>
      <c r="CW10" s="5">
        <v>-463.0491947</v>
      </c>
      <c r="CX10" s="5">
        <v>-484.7977112</v>
      </c>
      <c r="CY10" s="5">
        <v>84.98114613</v>
      </c>
      <c r="CZ10" s="5">
        <v>1.046968047</v>
      </c>
      <c r="DA10" s="5">
        <v>0.4234975289</v>
      </c>
      <c r="DB10" s="5">
        <v>3.471127786</v>
      </c>
      <c r="DC10" s="5">
        <v>1.084028415</v>
      </c>
      <c r="DD10" s="5">
        <v>15.55</v>
      </c>
      <c r="DE10" s="5">
        <v>1.162</v>
      </c>
      <c r="DF10" s="5">
        <v>100.0</v>
      </c>
      <c r="DG10" s="5">
        <v>412.38</v>
      </c>
      <c r="DH10" s="5">
        <v>59.97418278</v>
      </c>
      <c r="DI10" s="5">
        <v>431.814116</v>
      </c>
    </row>
    <row r="11">
      <c r="A11" s="5">
        <v>3.4</v>
      </c>
      <c r="B11" s="5">
        <v>15.55654895</v>
      </c>
      <c r="C11" s="5">
        <v>34.8</v>
      </c>
      <c r="D11" s="5">
        <v>-2.0</v>
      </c>
      <c r="E11" s="5" t="s">
        <v>0</v>
      </c>
      <c r="F11" s="5">
        <v>491.4050396</v>
      </c>
      <c r="G11" s="5">
        <v>216.573794</v>
      </c>
      <c r="H11" s="5">
        <v>3.236834475</v>
      </c>
      <c r="I11" s="5">
        <v>1.422084061</v>
      </c>
      <c r="J11" s="5">
        <v>1.443987291</v>
      </c>
      <c r="K11" s="5">
        <v>0.6559210255</v>
      </c>
      <c r="L11" s="5">
        <v>2.268995848</v>
      </c>
      <c r="M11" s="5">
        <v>56.05727868</v>
      </c>
      <c r="N11" s="5">
        <v>43.94272132</v>
      </c>
      <c r="O11" s="5">
        <v>3.125026427</v>
      </c>
      <c r="P11" s="6">
        <v>1.53E-5</v>
      </c>
      <c r="Q11" s="5">
        <v>0.001249856377</v>
      </c>
      <c r="R11" s="5">
        <v>1.419846046</v>
      </c>
      <c r="S11" s="6">
        <v>2.68E-6</v>
      </c>
      <c r="T11" s="5">
        <v>0.001152609397</v>
      </c>
      <c r="U11" s="5">
        <v>56.09147186</v>
      </c>
      <c r="V11" s="5">
        <v>0.001606110838</v>
      </c>
      <c r="W11" s="6">
        <v>7.14E-4</v>
      </c>
      <c r="X11" s="5">
        <v>184.661377</v>
      </c>
      <c r="Y11" s="5">
        <v>40.8864909</v>
      </c>
      <c r="Z11" s="5">
        <v>137.2044531</v>
      </c>
      <c r="AA11" s="5">
        <v>12.56561391</v>
      </c>
      <c r="AB11" s="5">
        <v>9.458447225</v>
      </c>
      <c r="AC11" s="5">
        <v>5.236405417</v>
      </c>
      <c r="AD11" s="5">
        <v>4.224456952</v>
      </c>
      <c r="AE11" s="5">
        <v>4.775334705</v>
      </c>
      <c r="AF11" s="5">
        <v>5.940222723</v>
      </c>
      <c r="AG11" s="5">
        <v>4.328257032</v>
      </c>
      <c r="AH11" s="5">
        <v>5.059231081</v>
      </c>
      <c r="AI11" s="5">
        <v>6.769571891</v>
      </c>
      <c r="AJ11" s="5">
        <v>1.035332857</v>
      </c>
      <c r="AK11" s="5">
        <v>0.8248852354</v>
      </c>
      <c r="AL11" s="5">
        <v>14.11178229</v>
      </c>
      <c r="AM11" s="5">
        <v>0.9733836556</v>
      </c>
      <c r="AN11" s="5">
        <v>0.7302588945</v>
      </c>
      <c r="AO11" s="5">
        <v>5.54065903</v>
      </c>
      <c r="AP11" s="5">
        <v>0.0</v>
      </c>
      <c r="AQ11" s="5">
        <v>0.0</v>
      </c>
      <c r="AR11" s="5">
        <v>210.6767509</v>
      </c>
      <c r="AS11" s="5">
        <v>109.3484693</v>
      </c>
      <c r="AT11" s="5">
        <v>156.5780462</v>
      </c>
      <c r="AU11" s="5">
        <v>47.01677938</v>
      </c>
      <c r="AV11" s="5">
        <v>4.056634593</v>
      </c>
      <c r="AW11" s="5">
        <v>0.0</v>
      </c>
      <c r="AX11" s="5">
        <v>0.0</v>
      </c>
      <c r="AY11" s="5">
        <v>28.20454509</v>
      </c>
      <c r="AZ11" s="5">
        <v>58.8471877</v>
      </c>
      <c r="BA11" s="5">
        <v>19.14480548</v>
      </c>
      <c r="BB11" s="5">
        <v>0.0</v>
      </c>
      <c r="BC11" s="5">
        <v>0.0</v>
      </c>
      <c r="BD11" s="5">
        <v>-1.031343917</v>
      </c>
      <c r="BE11" s="5">
        <v>3.151930996</v>
      </c>
      <c r="BF11" s="5">
        <v>112.8950926</v>
      </c>
      <c r="BG11" s="5">
        <v>20.3224681</v>
      </c>
      <c r="BH11" s="5">
        <v>0.0</v>
      </c>
      <c r="BI11" s="5">
        <v>0.0</v>
      </c>
      <c r="BJ11" s="5">
        <v>0.0</v>
      </c>
      <c r="BK11" s="5">
        <v>0.0</v>
      </c>
      <c r="BL11" s="5">
        <v>0.0</v>
      </c>
      <c r="BM11" s="5">
        <v>0.0</v>
      </c>
      <c r="BN11" s="5">
        <v>0.0</v>
      </c>
      <c r="BO11" s="5">
        <v>0.0</v>
      </c>
      <c r="BP11" s="5">
        <v>0.0</v>
      </c>
      <c r="BQ11" s="5">
        <v>0.0</v>
      </c>
      <c r="BR11" s="5">
        <v>-9.948502798</v>
      </c>
      <c r="BS11" s="5">
        <v>-0.9869399781</v>
      </c>
      <c r="BT11" s="5">
        <v>24.58897463</v>
      </c>
      <c r="BU11" s="5">
        <v>3.146824507</v>
      </c>
      <c r="BV11" s="5">
        <v>1.042579406</v>
      </c>
      <c r="BW11" s="5">
        <v>7.763158987</v>
      </c>
      <c r="BX11" s="5">
        <v>25.27623474</v>
      </c>
      <c r="BY11" s="5">
        <v>19.20857157</v>
      </c>
      <c r="BZ11" s="5">
        <v>0.0</v>
      </c>
      <c r="CA11" s="5">
        <v>0.0</v>
      </c>
      <c r="CB11" s="5">
        <v>0.0</v>
      </c>
      <c r="CC11" s="5">
        <v>-2.1280951</v>
      </c>
      <c r="CD11" s="5">
        <v>5.088864273</v>
      </c>
      <c r="CE11" s="5">
        <v>0.0</v>
      </c>
      <c r="CF11" s="5">
        <v>0.0</v>
      </c>
      <c r="CG11" s="5">
        <v>-1.171404308</v>
      </c>
      <c r="CH11" s="5">
        <v>3.312190303</v>
      </c>
      <c r="CI11" s="5">
        <v>0.0</v>
      </c>
      <c r="CJ11" s="5">
        <v>0.0</v>
      </c>
      <c r="CK11" s="5">
        <v>3.458845747</v>
      </c>
      <c r="CL11" s="5">
        <v>3.455107973</v>
      </c>
      <c r="CM11" s="5">
        <v>3.458845747</v>
      </c>
      <c r="CN11" s="5">
        <v>1.300401402</v>
      </c>
      <c r="CO11" s="5">
        <v>3.163859694</v>
      </c>
      <c r="CP11" s="5">
        <v>0.7469748015</v>
      </c>
      <c r="CQ11" s="5">
        <v>-0.2470774098</v>
      </c>
      <c r="CR11" s="5">
        <v>0.09228916311</v>
      </c>
      <c r="CS11" s="5">
        <v>0.0</v>
      </c>
      <c r="CT11" s="5">
        <v>0.0</v>
      </c>
      <c r="CU11" s="5">
        <v>0.0</v>
      </c>
      <c r="CV11" s="5">
        <v>216.573794</v>
      </c>
      <c r="CW11" s="5">
        <v>-491.4050396</v>
      </c>
      <c r="CX11" s="5">
        <v>-534.0942003</v>
      </c>
      <c r="CY11" s="5">
        <v>95.04849327</v>
      </c>
      <c r="CZ11" s="5">
        <v>1.086871638</v>
      </c>
      <c r="DA11" s="5">
        <v>0.4388734735</v>
      </c>
      <c r="DB11" s="5">
        <v>3.471181771</v>
      </c>
      <c r="DC11" s="5">
        <v>1.084036039</v>
      </c>
      <c r="DD11" s="5">
        <v>15.55</v>
      </c>
      <c r="DE11" s="5">
        <v>1.162</v>
      </c>
      <c r="DF11" s="5">
        <v>100.0</v>
      </c>
      <c r="DG11" s="5">
        <v>311.791</v>
      </c>
      <c r="DH11" s="5">
        <v>56.70225583</v>
      </c>
      <c r="DI11" s="5">
        <v>326.0832604</v>
      </c>
    </row>
    <row r="12">
      <c r="A12" s="5">
        <v>3.5</v>
      </c>
      <c r="B12" s="5">
        <v>15.55654895</v>
      </c>
      <c r="C12" s="5">
        <v>34.8</v>
      </c>
      <c r="D12" s="5">
        <v>2.0</v>
      </c>
      <c r="E12" s="5" t="s">
        <v>0</v>
      </c>
      <c r="F12" s="5">
        <v>484.3094411</v>
      </c>
      <c r="G12" s="5">
        <v>217.0750654</v>
      </c>
      <c r="H12" s="5">
        <v>3.190096497</v>
      </c>
      <c r="I12" s="5">
        <v>1.425219471</v>
      </c>
      <c r="J12" s="5">
        <v>1.422981212</v>
      </c>
      <c r="K12" s="5">
        <v>0.6572952541</v>
      </c>
      <c r="L12" s="5">
        <v>2.231068963</v>
      </c>
      <c r="M12" s="5">
        <v>56.5508532</v>
      </c>
      <c r="N12" s="5">
        <v>43.4491468</v>
      </c>
      <c r="O12" s="5">
        <v>3.084342359</v>
      </c>
      <c r="P12" s="6">
        <v>2.34E-7</v>
      </c>
      <c r="Q12" s="6">
        <v>1.57E-4</v>
      </c>
      <c r="R12" s="5">
        <v>1.424901186</v>
      </c>
      <c r="S12" s="6">
        <v>2.09E-8</v>
      </c>
      <c r="T12" s="6">
        <v>1.01E-4</v>
      </c>
      <c r="U12" s="5">
        <v>56.56416695</v>
      </c>
      <c r="V12" s="6">
        <v>5.23E-5</v>
      </c>
      <c r="W12" s="6">
        <v>1.28E-4</v>
      </c>
      <c r="X12" s="5">
        <v>185.1511636</v>
      </c>
      <c r="Y12" s="5">
        <v>40.89785066</v>
      </c>
      <c r="Z12" s="5">
        <v>137.8610421</v>
      </c>
      <c r="AA12" s="5">
        <v>12.54525637</v>
      </c>
      <c r="AB12" s="5">
        <v>9.471355448</v>
      </c>
      <c r="AC12" s="5">
        <v>5.23187891</v>
      </c>
      <c r="AD12" s="5">
        <v>4.242126454</v>
      </c>
      <c r="AE12" s="5">
        <v>4.754698784</v>
      </c>
      <c r="AF12" s="5">
        <v>5.93549606</v>
      </c>
      <c r="AG12" s="5">
        <v>4.339126263</v>
      </c>
      <c r="AH12" s="5">
        <v>5.056006257</v>
      </c>
      <c r="AI12" s="5">
        <v>6.796338552</v>
      </c>
      <c r="AJ12" s="5">
        <v>1.007111947</v>
      </c>
      <c r="AK12" s="5">
        <v>0.8039084879</v>
      </c>
      <c r="AL12" s="5">
        <v>13.98848386</v>
      </c>
      <c r="AM12" s="5">
        <v>0.9787340987</v>
      </c>
      <c r="AN12" s="5">
        <v>0.7387150108</v>
      </c>
      <c r="AO12" s="5">
        <v>5.502397079</v>
      </c>
      <c r="AP12" s="5">
        <v>0.0</v>
      </c>
      <c r="AQ12" s="5">
        <v>0.0</v>
      </c>
      <c r="AR12" s="5">
        <v>207.6072241</v>
      </c>
      <c r="AS12" s="5">
        <v>107.8037333</v>
      </c>
      <c r="AT12" s="5">
        <v>154.3886031</v>
      </c>
      <c r="AU12" s="5">
        <v>46.31088511</v>
      </c>
      <c r="AV12" s="5">
        <v>3.984308065</v>
      </c>
      <c r="AW12" s="5">
        <v>0.0</v>
      </c>
      <c r="AX12" s="5">
        <v>0.0</v>
      </c>
      <c r="AY12" s="5">
        <v>27.426772</v>
      </c>
      <c r="AZ12" s="5">
        <v>58.24232789</v>
      </c>
      <c r="BA12" s="5">
        <v>19.00746593</v>
      </c>
      <c r="BB12" s="5">
        <v>0.0</v>
      </c>
      <c r="BC12" s="5">
        <v>0.0</v>
      </c>
      <c r="BD12" s="5">
        <v>-1.060880251</v>
      </c>
      <c r="BE12" s="5">
        <v>3.127167498</v>
      </c>
      <c r="BF12" s="5">
        <v>118.1778454</v>
      </c>
      <c r="BG12" s="5">
        <v>20.4282799</v>
      </c>
      <c r="BH12" s="5">
        <v>0.0</v>
      </c>
      <c r="BI12" s="5">
        <v>0.0</v>
      </c>
      <c r="BJ12" s="5">
        <v>0.0</v>
      </c>
      <c r="BK12" s="5">
        <v>0.0</v>
      </c>
      <c r="BL12" s="5">
        <v>0.0</v>
      </c>
      <c r="BM12" s="5">
        <v>0.0</v>
      </c>
      <c r="BN12" s="5">
        <v>0.0</v>
      </c>
      <c r="BO12" s="5">
        <v>0.0</v>
      </c>
      <c r="BP12" s="5">
        <v>0.0</v>
      </c>
      <c r="BQ12" s="5">
        <v>0.0</v>
      </c>
      <c r="BR12" s="5">
        <v>-9.994699218</v>
      </c>
      <c r="BS12" s="5">
        <v>-1.007962637</v>
      </c>
      <c r="BT12" s="5">
        <v>25.22234383</v>
      </c>
      <c r="BU12" s="5">
        <v>3.295119806</v>
      </c>
      <c r="BV12" s="5">
        <v>0.7479733084</v>
      </c>
      <c r="BW12" s="5">
        <v>6.630609667</v>
      </c>
      <c r="BX12" s="5">
        <v>24.90851525</v>
      </c>
      <c r="BY12" s="5">
        <v>21.11444953</v>
      </c>
      <c r="BZ12" s="5">
        <v>0.0</v>
      </c>
      <c r="CA12" s="5">
        <v>0.0</v>
      </c>
      <c r="CB12" s="5">
        <v>0.0</v>
      </c>
      <c r="CC12" s="5">
        <v>-2.0691267</v>
      </c>
      <c r="CD12" s="5">
        <v>5.20444838</v>
      </c>
      <c r="CE12" s="5">
        <v>0.0</v>
      </c>
      <c r="CF12" s="5">
        <v>0.0</v>
      </c>
      <c r="CG12" s="5">
        <v>-1.015725236</v>
      </c>
      <c r="CH12" s="5">
        <v>3.219402426</v>
      </c>
      <c r="CI12" s="5">
        <v>0.0</v>
      </c>
      <c r="CJ12" s="5">
        <v>0.0</v>
      </c>
      <c r="CK12" s="5">
        <v>3.268293139</v>
      </c>
      <c r="CL12" s="5">
        <v>4.539241408</v>
      </c>
      <c r="CM12" s="5">
        <v>3.268293139</v>
      </c>
      <c r="CN12" s="5">
        <v>1.2763442</v>
      </c>
      <c r="CO12" s="5">
        <v>3.146606905</v>
      </c>
      <c r="CP12" s="5">
        <v>-0.1446336745</v>
      </c>
      <c r="CQ12" s="5">
        <v>-0.1984044984</v>
      </c>
      <c r="CR12" s="5">
        <v>0.08846928067</v>
      </c>
      <c r="CS12" s="5">
        <v>0.0</v>
      </c>
      <c r="CT12" s="5">
        <v>0.0</v>
      </c>
      <c r="CU12" s="5">
        <v>0.0</v>
      </c>
      <c r="CV12" s="5">
        <v>217.0750654</v>
      </c>
      <c r="CW12" s="5">
        <v>-484.3094411</v>
      </c>
      <c r="CX12" s="5">
        <v>-521.6216274</v>
      </c>
      <c r="CY12" s="5">
        <v>94.30830572</v>
      </c>
      <c r="CZ12" s="5">
        <v>1.077042038</v>
      </c>
      <c r="DA12" s="5">
        <v>0.4344502007</v>
      </c>
      <c r="DB12" s="5">
        <v>3.471172892</v>
      </c>
      <c r="DC12" s="5">
        <v>1.084154695</v>
      </c>
      <c r="DD12" s="5">
        <v>15.55</v>
      </c>
      <c r="DE12" s="5">
        <v>1.162</v>
      </c>
      <c r="DF12" s="5">
        <v>100.0</v>
      </c>
      <c r="DG12" s="5">
        <v>120.837</v>
      </c>
      <c r="DH12" s="5">
        <v>11.25911222</v>
      </c>
      <c r="DI12" s="5">
        <v>27.02186933</v>
      </c>
    </row>
    <row r="13">
      <c r="A13" s="5">
        <v>3.7</v>
      </c>
      <c r="B13" s="5">
        <v>15.55654895</v>
      </c>
      <c r="C13" s="5">
        <v>34.8</v>
      </c>
      <c r="D13" s="5">
        <v>6.0</v>
      </c>
      <c r="E13" s="5" t="s">
        <v>0</v>
      </c>
      <c r="F13" s="5">
        <v>453.27128</v>
      </c>
      <c r="G13" s="5">
        <v>217.0750654</v>
      </c>
      <c r="H13" s="5">
        <v>2.985651321</v>
      </c>
      <c r="I13" s="5">
        <v>1.425219471</v>
      </c>
      <c r="J13" s="5">
        <v>1.422981212</v>
      </c>
      <c r="K13" s="5">
        <v>0.6572952541</v>
      </c>
      <c r="L13" s="5">
        <v>2.231068963</v>
      </c>
      <c r="M13" s="5">
        <v>56.5508532</v>
      </c>
      <c r="N13" s="5">
        <v>43.4491468</v>
      </c>
      <c r="O13" s="5">
        <v>3.084342359</v>
      </c>
      <c r="P13" s="6">
        <v>2.34E-7</v>
      </c>
      <c r="Q13" s="6">
        <v>1.57E-4</v>
      </c>
      <c r="R13" s="5">
        <v>1.424901186</v>
      </c>
      <c r="S13" s="6">
        <v>2.09E-8</v>
      </c>
      <c r="T13" s="6">
        <v>1.01E-4</v>
      </c>
      <c r="U13" s="5">
        <v>56.56416695</v>
      </c>
      <c r="V13" s="6">
        <v>5.23E-5</v>
      </c>
      <c r="W13" s="6">
        <v>1.28E-4</v>
      </c>
      <c r="X13" s="5">
        <v>185.1511636</v>
      </c>
      <c r="Y13" s="5">
        <v>40.89785066</v>
      </c>
      <c r="Z13" s="5">
        <v>137.8610421</v>
      </c>
      <c r="AA13" s="5">
        <v>12.54525637</v>
      </c>
      <c r="AB13" s="5">
        <v>9.471355448</v>
      </c>
      <c r="AC13" s="5">
        <v>5.23187891</v>
      </c>
      <c r="AD13" s="5">
        <v>4.242126454</v>
      </c>
      <c r="AE13" s="5">
        <v>4.754698784</v>
      </c>
      <c r="AF13" s="5">
        <v>5.93549606</v>
      </c>
      <c r="AG13" s="5">
        <v>4.339126263</v>
      </c>
      <c r="AH13" s="5">
        <v>5.056006257</v>
      </c>
      <c r="AI13" s="5">
        <v>6.796338552</v>
      </c>
      <c r="AJ13" s="5">
        <v>1.007111947</v>
      </c>
      <c r="AK13" s="5">
        <v>0.8039084879</v>
      </c>
      <c r="AL13" s="5">
        <v>13.98848386</v>
      </c>
      <c r="AM13" s="5">
        <v>0.9787340987</v>
      </c>
      <c r="AN13" s="5">
        <v>0.7387150108</v>
      </c>
      <c r="AO13" s="5">
        <v>5.502397079</v>
      </c>
      <c r="AP13" s="5">
        <v>0.0</v>
      </c>
      <c r="AQ13" s="5">
        <v>0.0</v>
      </c>
      <c r="AR13" s="5">
        <v>207.6072241</v>
      </c>
      <c r="AS13" s="5">
        <v>107.8037333</v>
      </c>
      <c r="AT13" s="5">
        <v>154.3886031</v>
      </c>
      <c r="AU13" s="5">
        <v>46.31088511</v>
      </c>
      <c r="AV13" s="5">
        <v>3.984308065</v>
      </c>
      <c r="AW13" s="5">
        <v>0.0</v>
      </c>
      <c r="AX13" s="5">
        <v>0.0</v>
      </c>
      <c r="AY13" s="5">
        <v>27.426772</v>
      </c>
      <c r="AZ13" s="5">
        <v>58.24232789</v>
      </c>
      <c r="BA13" s="5">
        <v>19.00746593</v>
      </c>
      <c r="BB13" s="5">
        <v>0.0</v>
      </c>
      <c r="BC13" s="5">
        <v>0.0</v>
      </c>
      <c r="BD13" s="5">
        <v>-1.06088</v>
      </c>
      <c r="BE13" s="5">
        <v>3.127167498</v>
      </c>
      <c r="BF13" s="5">
        <v>118.1778454</v>
      </c>
      <c r="BG13" s="5">
        <v>20.4282799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  <c r="BM13" s="5">
        <v>0.0</v>
      </c>
      <c r="BN13" s="5">
        <v>0.0</v>
      </c>
      <c r="BO13" s="5">
        <v>0.0</v>
      </c>
      <c r="BP13" s="5">
        <v>0.0</v>
      </c>
      <c r="BQ13" s="5">
        <v>0.0</v>
      </c>
      <c r="BR13" s="5">
        <v>-9.9947</v>
      </c>
      <c r="BS13" s="5">
        <v>-1.00796</v>
      </c>
      <c r="BT13" s="5">
        <v>25.22234383</v>
      </c>
      <c r="BU13" s="5">
        <v>3.295119806</v>
      </c>
      <c r="BV13" s="5">
        <v>0.7479733084</v>
      </c>
      <c r="BW13" s="5">
        <v>6.630609667</v>
      </c>
      <c r="BX13" s="5">
        <v>24.90851525</v>
      </c>
      <c r="BY13" s="5">
        <v>21.11444953</v>
      </c>
      <c r="BZ13" s="5">
        <v>0.0</v>
      </c>
      <c r="CA13" s="5">
        <v>0.0</v>
      </c>
      <c r="CB13" s="5">
        <v>0.0</v>
      </c>
      <c r="CC13" s="5">
        <v>-2.06913</v>
      </c>
      <c r="CD13" s="5">
        <v>5.20444838</v>
      </c>
      <c r="CE13" s="5">
        <v>0.0</v>
      </c>
      <c r="CF13" s="5">
        <v>0.0</v>
      </c>
      <c r="CG13" s="5">
        <v>-1.01573</v>
      </c>
      <c r="CH13" s="5">
        <v>3.219402426</v>
      </c>
      <c r="CI13" s="5">
        <v>0.0</v>
      </c>
      <c r="CJ13" s="5">
        <v>0.0</v>
      </c>
      <c r="CK13" s="5">
        <v>3.268293139</v>
      </c>
      <c r="CL13" s="5">
        <v>4.539241408</v>
      </c>
      <c r="CM13" s="5">
        <v>3.268293139</v>
      </c>
      <c r="CN13" s="5">
        <v>1.2763442</v>
      </c>
      <c r="CO13" s="5">
        <v>3.146606905</v>
      </c>
      <c r="CP13" s="5">
        <v>-0.14463</v>
      </c>
      <c r="CQ13" s="5">
        <v>-0.1984</v>
      </c>
      <c r="CR13" s="5">
        <v>0.088469</v>
      </c>
      <c r="CS13" s="5">
        <v>0.0</v>
      </c>
      <c r="CT13" s="5">
        <v>0.0</v>
      </c>
      <c r="CU13" s="5">
        <v>0.0</v>
      </c>
      <c r="CV13" s="5">
        <v>217.0750654</v>
      </c>
      <c r="CW13" s="5">
        <v>-484.309</v>
      </c>
      <c r="CX13" s="5">
        <v>-521.622</v>
      </c>
      <c r="CY13" s="5">
        <v>94.30830572</v>
      </c>
      <c r="CZ13" s="5">
        <v>1.077042038</v>
      </c>
      <c r="DA13" s="5">
        <v>0.4344502007</v>
      </c>
      <c r="DB13" s="5">
        <v>3.471172892</v>
      </c>
      <c r="DC13" s="5">
        <v>1.084154695</v>
      </c>
      <c r="DD13" s="5">
        <v>15.55</v>
      </c>
      <c r="DE13" s="5">
        <v>1.162</v>
      </c>
      <c r="DF13" s="5">
        <v>100.0</v>
      </c>
      <c r="DG13" s="5">
        <v>120.837</v>
      </c>
      <c r="DH13" s="5">
        <v>11.25911222</v>
      </c>
      <c r="DI13" s="5">
        <v>27.02186933</v>
      </c>
    </row>
    <row r="14">
      <c r="A14" s="5"/>
    </row>
    <row r="15">
      <c r="A15" s="7">
        <v>2.0</v>
      </c>
      <c r="B15" s="8" t="s">
        <v>3</v>
      </c>
      <c r="C15" s="4"/>
      <c r="D15" s="9">
        <v>1.0</v>
      </c>
      <c r="E15" s="10">
        <v>0.0</v>
      </c>
      <c r="F15" s="10">
        <v>23.3</v>
      </c>
      <c r="G15" s="10">
        <f t="shared" ref="G15:G22" si="1">F15/2.237
</f>
        <v>10.41573536</v>
      </c>
      <c r="H15" s="10">
        <v>1.0</v>
      </c>
      <c r="I15" s="11">
        <v>0.05</v>
      </c>
      <c r="J15" s="12">
        <v>1.028</v>
      </c>
      <c r="K15" s="13"/>
      <c r="L15" s="12">
        <v>-1.66</v>
      </c>
      <c r="M15" s="13"/>
      <c r="N15" s="12">
        <v>-0.825</v>
      </c>
      <c r="O15" s="13"/>
      <c r="P15" s="12">
        <v>-0.832</v>
      </c>
      <c r="Q15" s="13"/>
      <c r="R15" s="12">
        <v>0.007000000000000006</v>
      </c>
      <c r="S15" s="12">
        <v>0.005</v>
      </c>
      <c r="T15" s="12">
        <v>0.011</v>
      </c>
      <c r="U15" s="12">
        <v>-0.011</v>
      </c>
      <c r="V15" s="12">
        <v>-0.003</v>
      </c>
      <c r="W15" s="14">
        <v>0.8005</v>
      </c>
      <c r="X15" s="12">
        <v>-0.20500000000000007</v>
      </c>
      <c r="Y15" s="15" t="s">
        <v>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7">
        <v>2.0</v>
      </c>
      <c r="AN15" s="4" t="s">
        <v>3</v>
      </c>
      <c r="AO15" s="9">
        <v>1.0</v>
      </c>
      <c r="AP15" s="10">
        <v>0.0</v>
      </c>
      <c r="AQ15" s="10">
        <v>71.41</v>
      </c>
      <c r="AR15" s="10">
        <v>40.0</v>
      </c>
      <c r="AS15" s="10">
        <v>15.36</v>
      </c>
      <c r="AT15" s="10">
        <v>1.0</v>
      </c>
      <c r="AU15" s="11">
        <v>23.3</v>
      </c>
      <c r="AV15" s="9" t="s">
        <v>5</v>
      </c>
      <c r="AW15" s="10">
        <v>0.05</v>
      </c>
      <c r="AX15" s="7">
        <v>0.0</v>
      </c>
      <c r="AY15" s="12">
        <v>0.8005</v>
      </c>
      <c r="AZ15" s="12">
        <v>-0.20500000000000007</v>
      </c>
      <c r="BA15" s="15" t="s">
        <v>4</v>
      </c>
      <c r="BB15" s="10">
        <v>86.67</v>
      </c>
      <c r="BC15" s="10">
        <v>35.32</v>
      </c>
      <c r="BD15" s="16">
        <v>1.0909</v>
      </c>
      <c r="BE15" s="10">
        <v>56.07</v>
      </c>
      <c r="BF15" s="10">
        <v>-90.53</v>
      </c>
      <c r="BG15" s="10">
        <v>-22.57</v>
      </c>
      <c r="BH15" s="10">
        <v>-22.51</v>
      </c>
      <c r="BI15" s="10">
        <v>-22.75</v>
      </c>
      <c r="BJ15" s="10">
        <v>-22.7</v>
      </c>
      <c r="BK15" s="10">
        <v>0.3</v>
      </c>
      <c r="BL15" s="10">
        <v>0.97</v>
      </c>
      <c r="BM15" s="10">
        <v>-0.92</v>
      </c>
      <c r="BN15" s="11">
        <v>-0.23</v>
      </c>
      <c r="BO15" s="10">
        <f t="shared" ref="BO15:BO22" si="2">BL15/BF15</f>
        <v>-0.01071468022</v>
      </c>
      <c r="BP15" s="10">
        <f t="shared" ref="BP15:BP22" si="3">BM15/BE15</f>
        <v>-0.01640806135</v>
      </c>
      <c r="BQ15" s="10">
        <f t="shared" ref="BQ15:BQ22" si="4">BN15/BK15</f>
        <v>-0.7666666667</v>
      </c>
    </row>
    <row r="16">
      <c r="A16" s="7">
        <v>2.0</v>
      </c>
      <c r="B16" s="8" t="s">
        <v>3</v>
      </c>
      <c r="C16" s="4"/>
      <c r="D16" s="9">
        <v>2.0</v>
      </c>
      <c r="E16" s="10">
        <v>4.0</v>
      </c>
      <c r="F16" s="10">
        <v>23.4</v>
      </c>
      <c r="G16" s="10">
        <f t="shared" si="1"/>
        <v>10.46043809</v>
      </c>
      <c r="H16" s="10">
        <v>1.0</v>
      </c>
      <c r="I16" s="11">
        <v>0.06</v>
      </c>
      <c r="J16" s="12">
        <v>1.047</v>
      </c>
      <c r="K16" s="12">
        <f>J16/1.36</f>
        <v>0.7698529412</v>
      </c>
      <c r="L16" s="12">
        <v>-1.631</v>
      </c>
      <c r="M16" s="12">
        <f>L16/2.53</f>
        <v>-0.6446640316</v>
      </c>
      <c r="N16" s="12">
        <v>-0.801</v>
      </c>
      <c r="O16" s="13"/>
      <c r="P16" s="12">
        <v>-0.822</v>
      </c>
      <c r="Q16" s="13"/>
      <c r="R16" s="12">
        <v>0.020999999999999908</v>
      </c>
      <c r="S16" s="12">
        <v>0.192</v>
      </c>
      <c r="T16" s="12">
        <v>0.036</v>
      </c>
      <c r="U16" s="12">
        <v>-0.009</v>
      </c>
      <c r="V16" s="12">
        <v>0.046</v>
      </c>
      <c r="W16" s="14">
        <v>0.8042</v>
      </c>
      <c r="X16" s="12">
        <v>-0.20499999999999996</v>
      </c>
      <c r="Y16" s="15" t="s">
        <v>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7">
        <v>2.0</v>
      </c>
      <c r="AN16" s="4" t="s">
        <v>3</v>
      </c>
      <c r="AO16" s="9">
        <v>2.0</v>
      </c>
      <c r="AP16" s="10">
        <v>4.0</v>
      </c>
      <c r="AQ16" s="10">
        <v>71.97</v>
      </c>
      <c r="AR16" s="10">
        <v>40.0</v>
      </c>
      <c r="AS16" s="10">
        <v>14.85</v>
      </c>
      <c r="AT16" s="10">
        <v>1.0</v>
      </c>
      <c r="AU16" s="11">
        <v>23.4</v>
      </c>
      <c r="AV16" s="9" t="s">
        <v>5</v>
      </c>
      <c r="AW16" s="10">
        <v>0.06</v>
      </c>
      <c r="AX16" s="7">
        <v>0.0</v>
      </c>
      <c r="AY16" s="12">
        <v>0.8042</v>
      </c>
      <c r="AZ16" s="12">
        <v>-0.20499999999999996</v>
      </c>
      <c r="BA16" s="15" t="s">
        <v>4</v>
      </c>
      <c r="BB16" s="10">
        <v>86.83</v>
      </c>
      <c r="BC16" s="10">
        <v>35.23</v>
      </c>
      <c r="BD16" s="16">
        <v>1.0909</v>
      </c>
      <c r="BE16" s="10">
        <v>57.2</v>
      </c>
      <c r="BF16" s="10">
        <v>-89.11</v>
      </c>
      <c r="BG16" s="10">
        <v>-21.47</v>
      </c>
      <c r="BH16" s="10">
        <v>-22.49</v>
      </c>
      <c r="BI16" s="10">
        <v>-22.07</v>
      </c>
      <c r="BJ16" s="10">
        <v>-23.08</v>
      </c>
      <c r="BK16" s="10">
        <v>10.48</v>
      </c>
      <c r="BL16" s="10">
        <v>3.08</v>
      </c>
      <c r="BM16" s="10">
        <v>-0.82</v>
      </c>
      <c r="BN16" s="11">
        <v>3.99</v>
      </c>
      <c r="BO16" s="10">
        <f t="shared" si="2"/>
        <v>-0.034564022</v>
      </c>
      <c r="BP16" s="10">
        <f t="shared" si="3"/>
        <v>-0.01433566434</v>
      </c>
      <c r="BQ16" s="10">
        <f t="shared" si="4"/>
        <v>0.3807251908</v>
      </c>
    </row>
    <row r="17">
      <c r="A17" s="7">
        <v>2.0</v>
      </c>
      <c r="B17" s="8" t="s">
        <v>3</v>
      </c>
      <c r="C17" s="4"/>
      <c r="D17" s="9">
        <v>3.0</v>
      </c>
      <c r="E17" s="10">
        <v>6.0</v>
      </c>
      <c r="F17" s="10">
        <v>23.3</v>
      </c>
      <c r="G17" s="10">
        <f t="shared" si="1"/>
        <v>10.41573536</v>
      </c>
      <c r="H17" s="10">
        <v>1.0</v>
      </c>
      <c r="I17" s="11">
        <v>0.06</v>
      </c>
      <c r="J17" s="12">
        <v>1.032</v>
      </c>
      <c r="K17" s="13"/>
      <c r="L17" s="12">
        <v>-1.617</v>
      </c>
      <c r="M17" s="13"/>
      <c r="N17" s="12">
        <v>-0.803</v>
      </c>
      <c r="O17" s="13"/>
      <c r="P17" s="12">
        <v>-0.814</v>
      </c>
      <c r="Q17" s="13"/>
      <c r="R17" s="12">
        <v>0.010999999999999899</v>
      </c>
      <c r="S17" s="12">
        <v>0.272</v>
      </c>
      <c r="T17" s="12">
        <v>0.018</v>
      </c>
      <c r="U17" s="12">
        <v>0.008</v>
      </c>
      <c r="V17" s="12">
        <v>0.051</v>
      </c>
      <c r="W17" s="14">
        <v>0.8028</v>
      </c>
      <c r="X17" s="12">
        <v>-0.20400000000000007</v>
      </c>
      <c r="Y17" s="15" t="s">
        <v>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7">
        <v>2.0</v>
      </c>
      <c r="AN17" s="4" t="s">
        <v>3</v>
      </c>
      <c r="AO17" s="9">
        <v>3.0</v>
      </c>
      <c r="AP17" s="10">
        <v>6.0</v>
      </c>
      <c r="AQ17" s="10">
        <v>72.31</v>
      </c>
      <c r="AR17" s="10">
        <v>40.0</v>
      </c>
      <c r="AS17" s="10">
        <v>14.57</v>
      </c>
      <c r="AT17" s="10">
        <v>1.0</v>
      </c>
      <c r="AU17" s="11">
        <v>23.3</v>
      </c>
      <c r="AV17" s="9" t="s">
        <v>5</v>
      </c>
      <c r="AW17" s="10">
        <v>0.06</v>
      </c>
      <c r="AX17" s="7">
        <v>0.0</v>
      </c>
      <c r="AY17" s="12">
        <v>0.8028</v>
      </c>
      <c r="AZ17" s="12">
        <v>-0.20400000000000007</v>
      </c>
      <c r="BA17" s="15" t="s">
        <v>4</v>
      </c>
      <c r="BB17" s="10">
        <v>90.83</v>
      </c>
      <c r="BC17" s="10">
        <v>35.26</v>
      </c>
      <c r="BD17" s="16">
        <v>1.0909</v>
      </c>
      <c r="BE17" s="10">
        <v>56.25</v>
      </c>
      <c r="BF17" s="10">
        <v>-88.17</v>
      </c>
      <c r="BG17" s="10">
        <v>-21.34</v>
      </c>
      <c r="BH17" s="10">
        <v>-22.45</v>
      </c>
      <c r="BI17" s="10">
        <v>-21.63</v>
      </c>
      <c r="BJ17" s="10">
        <v>-22.75</v>
      </c>
      <c r="BK17" s="10">
        <v>14.83</v>
      </c>
      <c r="BL17" s="10">
        <v>1.55</v>
      </c>
      <c r="BM17" s="10">
        <v>0.67</v>
      </c>
      <c r="BN17" s="11">
        <v>4.39</v>
      </c>
      <c r="BO17" s="10">
        <f t="shared" si="2"/>
        <v>-0.01757967563</v>
      </c>
      <c r="BP17" s="10">
        <f t="shared" si="3"/>
        <v>0.01191111111</v>
      </c>
      <c r="BQ17" s="10">
        <f t="shared" si="4"/>
        <v>0.2960215779</v>
      </c>
    </row>
    <row r="18">
      <c r="A18" s="7">
        <v>2.0</v>
      </c>
      <c r="B18" s="8" t="s">
        <v>3</v>
      </c>
      <c r="C18" s="4"/>
      <c r="D18" s="9">
        <v>4.0</v>
      </c>
      <c r="E18" s="10">
        <v>8.0</v>
      </c>
      <c r="F18" s="10">
        <v>23.3</v>
      </c>
      <c r="G18" s="10">
        <f t="shared" si="1"/>
        <v>10.41573536</v>
      </c>
      <c r="H18" s="10">
        <v>1.0</v>
      </c>
      <c r="I18" s="11">
        <v>0.06</v>
      </c>
      <c r="J18" s="12">
        <v>1.026</v>
      </c>
      <c r="K18" s="13"/>
      <c r="L18" s="12">
        <v>-1.559</v>
      </c>
      <c r="M18" s="13"/>
      <c r="N18" s="12">
        <v>-0.772</v>
      </c>
      <c r="O18" s="13"/>
      <c r="P18" s="12">
        <v>-0.781</v>
      </c>
      <c r="Q18" s="13"/>
      <c r="R18" s="12">
        <v>0.009000000000000008</v>
      </c>
      <c r="S18" s="12">
        <v>0.365</v>
      </c>
      <c r="T18" s="12">
        <v>0.014</v>
      </c>
      <c r="U18" s="12">
        <v>0.023</v>
      </c>
      <c r="V18" s="12">
        <v>0.079</v>
      </c>
      <c r="W18" s="14">
        <v>0.797</v>
      </c>
      <c r="X18" s="12">
        <v>-0.20800000000000007</v>
      </c>
      <c r="Y18" s="15" t="s">
        <v>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7">
        <v>2.0</v>
      </c>
      <c r="AN18" s="4" t="s">
        <v>3</v>
      </c>
      <c r="AO18" s="9">
        <v>4.0</v>
      </c>
      <c r="AP18" s="10">
        <v>8.0</v>
      </c>
      <c r="AQ18" s="10">
        <v>72.43</v>
      </c>
      <c r="AR18" s="10">
        <v>40.0</v>
      </c>
      <c r="AS18" s="10">
        <v>14.46</v>
      </c>
      <c r="AT18" s="10">
        <v>1.0</v>
      </c>
      <c r="AU18" s="11">
        <v>23.3</v>
      </c>
      <c r="AV18" s="9" t="s">
        <v>5</v>
      </c>
      <c r="AW18" s="10">
        <v>0.06</v>
      </c>
      <c r="AX18" s="7">
        <v>0.0</v>
      </c>
      <c r="AY18" s="12">
        <v>0.797</v>
      </c>
      <c r="AZ18" s="12">
        <v>-0.20800000000000007</v>
      </c>
      <c r="BA18" s="15" t="s">
        <v>4</v>
      </c>
      <c r="BB18" s="10">
        <v>85.5</v>
      </c>
      <c r="BC18" s="10">
        <v>35.27</v>
      </c>
      <c r="BD18" s="16">
        <v>1.0909</v>
      </c>
      <c r="BE18" s="10">
        <v>55.51</v>
      </c>
      <c r="BF18" s="10">
        <v>-84.35</v>
      </c>
      <c r="BG18" s="10">
        <v>-20.11</v>
      </c>
      <c r="BH18" s="10">
        <v>-21.84</v>
      </c>
      <c r="BI18" s="10">
        <v>-20.34</v>
      </c>
      <c r="BJ18" s="10">
        <v>-22.06</v>
      </c>
      <c r="BK18" s="10">
        <v>19.74</v>
      </c>
      <c r="BL18" s="10">
        <v>1.16</v>
      </c>
      <c r="BM18" s="10">
        <v>1.93</v>
      </c>
      <c r="BN18" s="11">
        <v>6.79</v>
      </c>
      <c r="BO18" s="10">
        <f t="shared" si="2"/>
        <v>-0.01375222288</v>
      </c>
      <c r="BP18" s="10">
        <f t="shared" si="3"/>
        <v>0.03476851018</v>
      </c>
      <c r="BQ18" s="10">
        <f t="shared" si="4"/>
        <v>0.3439716312</v>
      </c>
    </row>
    <row r="19">
      <c r="A19" s="7">
        <v>2.0</v>
      </c>
      <c r="B19" s="8" t="s">
        <v>3</v>
      </c>
      <c r="C19" s="4"/>
      <c r="D19" s="9">
        <v>5.0</v>
      </c>
      <c r="E19" s="10">
        <v>-2.0</v>
      </c>
      <c r="F19" s="10">
        <v>23.4</v>
      </c>
      <c r="G19" s="10">
        <f t="shared" si="1"/>
        <v>10.46043809</v>
      </c>
      <c r="H19" s="10">
        <v>1.0</v>
      </c>
      <c r="I19" s="11">
        <v>0.05</v>
      </c>
      <c r="J19" s="12">
        <v>1.021</v>
      </c>
      <c r="K19" s="13"/>
      <c r="L19" s="12">
        <v>-1.639</v>
      </c>
      <c r="M19" s="13"/>
      <c r="N19" s="12">
        <v>-0.808</v>
      </c>
      <c r="O19" s="13"/>
      <c r="P19" s="12">
        <v>-0.833</v>
      </c>
      <c r="Q19" s="13"/>
      <c r="R19" s="12">
        <v>0.02499999999999991</v>
      </c>
      <c r="S19" s="12">
        <v>-0.095</v>
      </c>
      <c r="T19" s="12">
        <v>0.039</v>
      </c>
      <c r="U19" s="12">
        <v>-0.008</v>
      </c>
      <c r="V19" s="12">
        <v>-0.008</v>
      </c>
      <c r="W19" s="14">
        <v>0.8016</v>
      </c>
      <c r="X19" s="12">
        <v>-0.20199999999999996</v>
      </c>
      <c r="Y19" s="15" t="s">
        <v>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7">
        <v>2.0</v>
      </c>
      <c r="AN19" s="4" t="s">
        <v>3</v>
      </c>
      <c r="AO19" s="9">
        <v>5.0</v>
      </c>
      <c r="AP19" s="10">
        <v>-2.0</v>
      </c>
      <c r="AQ19" s="10">
        <v>72.29</v>
      </c>
      <c r="AR19" s="10">
        <v>40.0</v>
      </c>
      <c r="AS19" s="10">
        <v>14.41</v>
      </c>
      <c r="AT19" s="10">
        <v>1.0</v>
      </c>
      <c r="AU19" s="11">
        <v>23.4</v>
      </c>
      <c r="AV19" s="9" t="s">
        <v>5</v>
      </c>
      <c r="AW19" s="10">
        <v>0.05</v>
      </c>
      <c r="AX19" s="7">
        <v>0.0</v>
      </c>
      <c r="AY19" s="12">
        <v>0.8016</v>
      </c>
      <c r="AZ19" s="12">
        <v>-0.20199999999999996</v>
      </c>
      <c r="BA19" s="15" t="s">
        <v>4</v>
      </c>
      <c r="BB19" s="10">
        <v>86.5</v>
      </c>
      <c r="BC19" s="10">
        <v>35.31</v>
      </c>
      <c r="BD19" s="16">
        <v>1.0909</v>
      </c>
      <c r="BE19" s="10">
        <v>55.8</v>
      </c>
      <c r="BF19" s="10">
        <v>-89.54</v>
      </c>
      <c r="BG19" s="10">
        <v>-22.14</v>
      </c>
      <c r="BH19" s="10">
        <v>-21.97</v>
      </c>
      <c r="BI19" s="10">
        <v>-22.79</v>
      </c>
      <c r="BJ19" s="10">
        <v>-22.63</v>
      </c>
      <c r="BK19" s="10">
        <v>-5.17</v>
      </c>
      <c r="BL19" s="10">
        <v>3.39</v>
      </c>
      <c r="BM19" s="10">
        <v>-0.69</v>
      </c>
      <c r="BN19" s="11">
        <v>-0.67</v>
      </c>
      <c r="BO19" s="10">
        <f t="shared" si="2"/>
        <v>-0.03786017422</v>
      </c>
      <c r="BP19" s="10">
        <f t="shared" si="3"/>
        <v>-0.0123655914</v>
      </c>
      <c r="BQ19" s="10">
        <f t="shared" si="4"/>
        <v>0.1295938104</v>
      </c>
    </row>
    <row r="20">
      <c r="A20" s="7">
        <v>2.0</v>
      </c>
      <c r="B20" s="8" t="s">
        <v>3</v>
      </c>
      <c r="C20" s="4"/>
      <c r="D20" s="9">
        <v>6.0</v>
      </c>
      <c r="E20" s="10">
        <v>-4.0</v>
      </c>
      <c r="F20" s="10">
        <v>23.3</v>
      </c>
      <c r="G20" s="10">
        <f t="shared" si="1"/>
        <v>10.41573536</v>
      </c>
      <c r="H20" s="10">
        <v>1.0</v>
      </c>
      <c r="I20" s="11">
        <v>0.05</v>
      </c>
      <c r="J20" s="12">
        <v>1.029</v>
      </c>
      <c r="K20" s="13"/>
      <c r="L20" s="12">
        <v>-1.619</v>
      </c>
      <c r="M20" s="13"/>
      <c r="N20" s="12">
        <v>-0.796</v>
      </c>
      <c r="O20" s="13"/>
      <c r="P20" s="12">
        <v>-0.821</v>
      </c>
      <c r="Q20" s="13"/>
      <c r="R20" s="12">
        <v>0.02499999999999991</v>
      </c>
      <c r="S20" s="12">
        <v>-0.186</v>
      </c>
      <c r="T20" s="12">
        <v>0.042</v>
      </c>
      <c r="U20" s="12">
        <v>-0.017</v>
      </c>
      <c r="V20" s="12">
        <v>-0.024</v>
      </c>
      <c r="W20" s="14">
        <v>0.8071</v>
      </c>
      <c r="X20" s="12">
        <v>-0.19799999999999995</v>
      </c>
      <c r="Y20" s="15" t="s">
        <v>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7">
        <v>2.0</v>
      </c>
      <c r="AN20" s="4" t="s">
        <v>3</v>
      </c>
      <c r="AO20" s="9">
        <v>6.0</v>
      </c>
      <c r="AP20" s="10">
        <v>-4.0</v>
      </c>
      <c r="AQ20" s="10">
        <v>72.44</v>
      </c>
      <c r="AR20" s="10">
        <v>40.0</v>
      </c>
      <c r="AS20" s="10">
        <v>14.34</v>
      </c>
      <c r="AT20" s="10">
        <v>1.0</v>
      </c>
      <c r="AU20" s="11">
        <v>23.3</v>
      </c>
      <c r="AV20" s="9" t="s">
        <v>5</v>
      </c>
      <c r="AW20" s="10">
        <v>0.05</v>
      </c>
      <c r="AX20" s="7">
        <v>0.0</v>
      </c>
      <c r="AY20" s="12">
        <v>0.8071</v>
      </c>
      <c r="AZ20" s="12">
        <v>-0.19799999999999995</v>
      </c>
      <c r="BA20" s="15" t="s">
        <v>4</v>
      </c>
      <c r="BB20" s="10">
        <v>87.83</v>
      </c>
      <c r="BC20" s="10">
        <v>35.36</v>
      </c>
      <c r="BD20" s="16">
        <v>1.0909</v>
      </c>
      <c r="BE20" s="10">
        <v>56.48</v>
      </c>
      <c r="BF20" s="10">
        <v>-88.81</v>
      </c>
      <c r="BG20" s="10">
        <v>-22.11</v>
      </c>
      <c r="BH20" s="10">
        <v>-21.59</v>
      </c>
      <c r="BI20" s="10">
        <v>-22.82</v>
      </c>
      <c r="BJ20" s="10">
        <v>-22.3</v>
      </c>
      <c r="BK20" s="10">
        <v>-10.19</v>
      </c>
      <c r="BL20" s="10">
        <v>3.68</v>
      </c>
      <c r="BM20" s="10">
        <v>-1.47</v>
      </c>
      <c r="BN20" s="11">
        <v>-2.05</v>
      </c>
      <c r="BO20" s="10">
        <f t="shared" si="2"/>
        <v>-0.04143677514</v>
      </c>
      <c r="BP20" s="10">
        <f t="shared" si="3"/>
        <v>-0.02602691218</v>
      </c>
      <c r="BQ20" s="10">
        <f t="shared" si="4"/>
        <v>0.2011776251</v>
      </c>
    </row>
    <row r="21">
      <c r="A21" s="7">
        <v>2.0</v>
      </c>
      <c r="B21" s="8" t="s">
        <v>3</v>
      </c>
      <c r="C21" s="4"/>
      <c r="D21" s="9">
        <v>7.0</v>
      </c>
      <c r="E21" s="10">
        <v>-6.0</v>
      </c>
      <c r="F21" s="10">
        <v>23.3</v>
      </c>
      <c r="G21" s="10">
        <f t="shared" si="1"/>
        <v>10.41573536</v>
      </c>
      <c r="H21" s="10">
        <v>1.1</v>
      </c>
      <c r="I21" s="11">
        <v>0.05</v>
      </c>
      <c r="J21" s="12">
        <v>1.023</v>
      </c>
      <c r="K21" s="13"/>
      <c r="L21" s="12">
        <v>-1.612</v>
      </c>
      <c r="M21" s="13"/>
      <c r="N21" s="12">
        <v>-0.795</v>
      </c>
      <c r="O21" s="13"/>
      <c r="P21" s="12">
        <v>-0.823</v>
      </c>
      <c r="Q21" s="13"/>
      <c r="R21" s="12">
        <v>0.027999999999999914</v>
      </c>
      <c r="S21" s="12">
        <v>-0.283</v>
      </c>
      <c r="T21" s="12">
        <v>0.046</v>
      </c>
      <c r="U21" s="12">
        <v>-0.018</v>
      </c>
      <c r="V21" s="12">
        <v>-0.05</v>
      </c>
      <c r="W21" s="14">
        <v>0.8061</v>
      </c>
      <c r="X21" s="12">
        <v>-0.19899999999999995</v>
      </c>
      <c r="Y21" s="15" t="s">
        <v>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7">
        <v>2.0</v>
      </c>
      <c r="AN21" s="4" t="s">
        <v>3</v>
      </c>
      <c r="AO21" s="9">
        <v>7.0</v>
      </c>
      <c r="AP21" s="10">
        <v>-6.0</v>
      </c>
      <c r="AQ21" s="10">
        <v>72.31</v>
      </c>
      <c r="AR21" s="10">
        <v>40.0</v>
      </c>
      <c r="AS21" s="10">
        <v>14.37</v>
      </c>
      <c r="AT21" s="10">
        <v>1.1</v>
      </c>
      <c r="AU21" s="11">
        <v>23.3</v>
      </c>
      <c r="AV21" s="9" t="s">
        <v>5</v>
      </c>
      <c r="AW21" s="10">
        <v>0.05</v>
      </c>
      <c r="AX21" s="7">
        <v>0.0</v>
      </c>
      <c r="AY21" s="12">
        <v>0.8061</v>
      </c>
      <c r="AZ21" s="12">
        <v>-0.19899999999999995</v>
      </c>
      <c r="BA21" s="15" t="s">
        <v>4</v>
      </c>
      <c r="BB21" s="10">
        <v>88.67</v>
      </c>
      <c r="BC21" s="10">
        <v>35.4</v>
      </c>
      <c r="BD21" s="16">
        <v>1.0909</v>
      </c>
      <c r="BE21" s="10">
        <v>56.29</v>
      </c>
      <c r="BF21" s="10">
        <v>-88.72</v>
      </c>
      <c r="BG21" s="10">
        <v>-22.35</v>
      </c>
      <c r="BH21" s="10">
        <v>-21.24</v>
      </c>
      <c r="BI21" s="10">
        <v>-23.12</v>
      </c>
      <c r="BJ21" s="10">
        <v>-22.01</v>
      </c>
      <c r="BK21" s="10">
        <v>-15.56</v>
      </c>
      <c r="BL21" s="10">
        <v>4.01</v>
      </c>
      <c r="BM21" s="10">
        <v>-1.58</v>
      </c>
      <c r="BN21" s="11">
        <v>-4.37</v>
      </c>
      <c r="BO21" s="10">
        <f t="shared" si="2"/>
        <v>-0.04519837692</v>
      </c>
      <c r="BP21" s="10">
        <f t="shared" si="3"/>
        <v>-0.02806892876</v>
      </c>
      <c r="BQ21" s="10">
        <f t="shared" si="4"/>
        <v>0.280848329</v>
      </c>
    </row>
    <row r="22">
      <c r="A22" s="7">
        <v>2.0</v>
      </c>
      <c r="B22" s="8" t="s">
        <v>3</v>
      </c>
      <c r="C22" s="4"/>
      <c r="D22" s="9">
        <v>8.0</v>
      </c>
      <c r="E22" s="10">
        <v>-8.0</v>
      </c>
      <c r="F22" s="10">
        <v>23.4</v>
      </c>
      <c r="G22" s="10">
        <f t="shared" si="1"/>
        <v>10.46043809</v>
      </c>
      <c r="H22" s="10">
        <v>1.0</v>
      </c>
      <c r="I22" s="11">
        <v>0.05</v>
      </c>
      <c r="J22" s="12">
        <v>1.014</v>
      </c>
      <c r="K22" s="13"/>
      <c r="L22" s="12">
        <v>-1.557</v>
      </c>
      <c r="M22" s="13"/>
      <c r="N22" s="12">
        <v>-0.774</v>
      </c>
      <c r="O22" s="13"/>
      <c r="P22" s="12">
        <v>-0.792</v>
      </c>
      <c r="Q22" s="13"/>
      <c r="R22" s="12">
        <v>0.018000000000000016</v>
      </c>
      <c r="S22" s="12">
        <v>-0.376</v>
      </c>
      <c r="T22" s="12">
        <v>0.027</v>
      </c>
      <c r="U22" s="12">
        <v>-0.039</v>
      </c>
      <c r="V22" s="12">
        <v>-0.064</v>
      </c>
      <c r="W22" s="14">
        <v>0.8043</v>
      </c>
      <c r="X22" s="12">
        <v>-0.19800000000000006</v>
      </c>
      <c r="Y22" s="15" t="s">
        <v>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7">
        <v>2.0</v>
      </c>
      <c r="AN22" s="4" t="s">
        <v>3</v>
      </c>
      <c r="AO22" s="9">
        <v>8.0</v>
      </c>
      <c r="AP22" s="10">
        <v>-8.0</v>
      </c>
      <c r="AQ22" s="10">
        <v>72.13</v>
      </c>
      <c r="AR22" s="10">
        <v>40.0</v>
      </c>
      <c r="AS22" s="10">
        <v>14.36</v>
      </c>
      <c r="AT22" s="10">
        <v>1.0</v>
      </c>
      <c r="AU22" s="11">
        <v>23.4</v>
      </c>
      <c r="AV22" s="9" t="s">
        <v>5</v>
      </c>
      <c r="AW22" s="10">
        <v>0.05</v>
      </c>
      <c r="AX22" s="7">
        <v>0.0</v>
      </c>
      <c r="AY22" s="12">
        <v>0.8043</v>
      </c>
      <c r="AZ22" s="12">
        <v>-0.19800000000000006</v>
      </c>
      <c r="BA22" s="15" t="s">
        <v>4</v>
      </c>
      <c r="BB22" s="10">
        <v>84.83</v>
      </c>
      <c r="BC22" s="10">
        <v>35.4</v>
      </c>
      <c r="BD22" s="16">
        <v>1.0909</v>
      </c>
      <c r="BE22" s="10">
        <v>55.59</v>
      </c>
      <c r="BF22" s="10">
        <v>-85.34</v>
      </c>
      <c r="BG22" s="10">
        <v>-21.81</v>
      </c>
      <c r="BH22" s="10">
        <v>-20.41</v>
      </c>
      <c r="BI22" s="10">
        <v>-22.26</v>
      </c>
      <c r="BJ22" s="10">
        <v>-20.86</v>
      </c>
      <c r="BK22" s="10">
        <v>-20.61</v>
      </c>
      <c r="BL22" s="10">
        <v>2.36</v>
      </c>
      <c r="BM22" s="10">
        <v>-3.37</v>
      </c>
      <c r="BN22" s="11">
        <v>-5.52</v>
      </c>
      <c r="BO22" s="10">
        <f t="shared" si="2"/>
        <v>-0.02765408952</v>
      </c>
      <c r="BP22" s="10">
        <f t="shared" si="3"/>
        <v>-0.0606224141</v>
      </c>
      <c r="BQ22" s="10">
        <f t="shared" si="4"/>
        <v>0.2678311499</v>
      </c>
    </row>
    <row r="24">
      <c r="A24" s="7">
        <v>3.0</v>
      </c>
      <c r="B24" s="8" t="s">
        <v>6</v>
      </c>
      <c r="C24" s="4"/>
      <c r="D24" s="9">
        <v>1.0</v>
      </c>
      <c r="E24" s="10">
        <v>-8.0</v>
      </c>
      <c r="F24" s="10">
        <v>34.8</v>
      </c>
      <c r="G24" s="10">
        <f t="shared" ref="G24:G31" si="5">F24/2.237
</f>
        <v>15.55654895</v>
      </c>
      <c r="H24" s="10">
        <v>2.7</v>
      </c>
      <c r="I24" s="11">
        <v>0.14</v>
      </c>
      <c r="J24" s="12">
        <v>1.031</v>
      </c>
      <c r="K24" s="13"/>
      <c r="L24" s="12">
        <v>-1.667</v>
      </c>
      <c r="M24" s="13"/>
      <c r="N24" s="12">
        <v>-0.828</v>
      </c>
      <c r="O24" s="13"/>
      <c r="P24" s="12">
        <v>-0.836</v>
      </c>
      <c r="Q24" s="13"/>
      <c r="R24" s="12">
        <v>0.008000000000000007</v>
      </c>
      <c r="S24" s="12">
        <v>-0.391</v>
      </c>
      <c r="T24" s="12">
        <v>0.014</v>
      </c>
      <c r="U24" s="12">
        <v>-0.046</v>
      </c>
      <c r="V24" s="12">
        <v>-0.091</v>
      </c>
      <c r="W24" s="14">
        <v>0.914</v>
      </c>
      <c r="X24" s="12">
        <v>-0.08899999999999997</v>
      </c>
      <c r="Y24" s="15" t="s">
        <v>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7">
        <v>3.0</v>
      </c>
      <c r="AN24" s="4" t="s">
        <v>6</v>
      </c>
      <c r="AO24" s="9">
        <v>1.0</v>
      </c>
      <c r="AP24" s="10">
        <v>-8.0</v>
      </c>
      <c r="AQ24" s="10">
        <v>71.92</v>
      </c>
      <c r="AR24" s="10">
        <v>40.0</v>
      </c>
      <c r="AS24" s="10">
        <v>14.49</v>
      </c>
      <c r="AT24" s="10">
        <v>2.7</v>
      </c>
      <c r="AU24" s="11">
        <v>34.8</v>
      </c>
      <c r="AV24" s="9" t="s">
        <v>5</v>
      </c>
      <c r="AW24" s="10">
        <v>0.14</v>
      </c>
      <c r="AX24" s="7">
        <v>0.0</v>
      </c>
      <c r="AY24" s="12">
        <v>0.914</v>
      </c>
      <c r="AZ24" s="12">
        <v>-0.08899999999999997</v>
      </c>
      <c r="BA24" s="15" t="s">
        <v>4</v>
      </c>
      <c r="BB24" s="10">
        <v>197.83</v>
      </c>
      <c r="BC24" s="10">
        <v>55.46</v>
      </c>
      <c r="BD24" s="16">
        <v>1.0909</v>
      </c>
      <c r="BE24" s="10">
        <v>143.27</v>
      </c>
      <c r="BF24" s="10">
        <v>-231.71</v>
      </c>
      <c r="BG24" s="10">
        <v>-60.15</v>
      </c>
      <c r="BH24" s="10">
        <v>-55.1</v>
      </c>
      <c r="BI24" s="10">
        <v>-60.75</v>
      </c>
      <c r="BJ24" s="10">
        <v>-55.7</v>
      </c>
      <c r="BK24" s="10">
        <v>-54.31</v>
      </c>
      <c r="BL24" s="10">
        <v>3.14</v>
      </c>
      <c r="BM24" s="10">
        <v>-10.2</v>
      </c>
      <c r="BN24" s="11">
        <v>-19.89</v>
      </c>
      <c r="BO24" s="10">
        <f t="shared" ref="BO24:BO31" si="6">BL24/BF24</f>
        <v>-0.01355142204</v>
      </c>
      <c r="BP24" s="10">
        <f t="shared" ref="BP24:BP31" si="7">BM24/BE24</f>
        <v>-0.07119424862</v>
      </c>
      <c r="BQ24" s="10">
        <f t="shared" ref="BQ24:BQ31" si="8">BN24/BK24</f>
        <v>0.3662308967</v>
      </c>
    </row>
    <row r="25">
      <c r="A25" s="7">
        <v>3.0</v>
      </c>
      <c r="B25" s="8" t="s">
        <v>6</v>
      </c>
      <c r="C25" s="4"/>
      <c r="D25" s="9">
        <v>2.0</v>
      </c>
      <c r="E25" s="10">
        <v>-6.0</v>
      </c>
      <c r="F25" s="10">
        <v>34.8</v>
      </c>
      <c r="G25" s="10">
        <f t="shared" si="5"/>
        <v>15.55654895</v>
      </c>
      <c r="H25" s="10">
        <v>2.7</v>
      </c>
      <c r="I25" s="11">
        <v>0.14</v>
      </c>
      <c r="J25" s="12">
        <v>1.05</v>
      </c>
      <c r="K25" s="13"/>
      <c r="L25" s="12">
        <v>-1.726</v>
      </c>
      <c r="M25" s="13"/>
      <c r="N25" s="12">
        <v>-0.856</v>
      </c>
      <c r="O25" s="13"/>
      <c r="P25" s="12">
        <v>-0.869</v>
      </c>
      <c r="Q25" s="13"/>
      <c r="R25" s="12">
        <v>0.013000000000000012</v>
      </c>
      <c r="S25" s="12">
        <v>-0.297</v>
      </c>
      <c r="T25" s="12">
        <v>0.021</v>
      </c>
      <c r="U25" s="12">
        <v>-0.035</v>
      </c>
      <c r="V25" s="12">
        <v>-0.073</v>
      </c>
      <c r="W25" s="14">
        <v>0.9129</v>
      </c>
      <c r="X25" s="12">
        <v>-0.09100000000000008</v>
      </c>
      <c r="Y25" s="15" t="s">
        <v>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7">
        <v>3.0</v>
      </c>
      <c r="AN25" s="4" t="s">
        <v>6</v>
      </c>
      <c r="AO25" s="9">
        <v>2.0</v>
      </c>
      <c r="AP25" s="10">
        <v>-6.0</v>
      </c>
      <c r="AQ25" s="10">
        <v>71.89</v>
      </c>
      <c r="AR25" s="10">
        <v>40.0</v>
      </c>
      <c r="AS25" s="10">
        <v>14.56</v>
      </c>
      <c r="AT25" s="10">
        <v>2.7</v>
      </c>
      <c r="AU25" s="11">
        <v>34.8</v>
      </c>
      <c r="AV25" s="9" t="s">
        <v>5</v>
      </c>
      <c r="AW25" s="10">
        <v>0.14</v>
      </c>
      <c r="AX25" s="7">
        <v>0.0</v>
      </c>
      <c r="AY25" s="12">
        <v>0.9129</v>
      </c>
      <c r="AZ25" s="12">
        <v>-0.09100000000000008</v>
      </c>
      <c r="BA25" s="15" t="s">
        <v>4</v>
      </c>
      <c r="BB25" s="10">
        <v>197.5</v>
      </c>
      <c r="BC25" s="10">
        <v>55.42</v>
      </c>
      <c r="BD25" s="16">
        <v>1.0909</v>
      </c>
      <c r="BE25" s="10">
        <v>145.69</v>
      </c>
      <c r="BF25" s="10">
        <v>-239.39</v>
      </c>
      <c r="BG25" s="10">
        <v>-61.42</v>
      </c>
      <c r="BH25" s="10">
        <v>-57.37</v>
      </c>
      <c r="BI25" s="10">
        <v>-62.32</v>
      </c>
      <c r="BJ25" s="10">
        <v>-58.27</v>
      </c>
      <c r="BK25" s="10">
        <v>-41.14</v>
      </c>
      <c r="BL25" s="10">
        <v>4.68</v>
      </c>
      <c r="BM25" s="10">
        <v>-7.63</v>
      </c>
      <c r="BN25" s="11">
        <v>-15.95</v>
      </c>
      <c r="BO25" s="10">
        <f t="shared" si="6"/>
        <v>-0.01954968879</v>
      </c>
      <c r="BP25" s="10">
        <f t="shared" si="7"/>
        <v>-0.05237147368</v>
      </c>
      <c r="BQ25" s="10">
        <f t="shared" si="8"/>
        <v>0.3877005348</v>
      </c>
    </row>
    <row r="26">
      <c r="A26" s="7">
        <v>3.0</v>
      </c>
      <c r="B26" s="8" t="s">
        <v>6</v>
      </c>
      <c r="C26" s="4"/>
      <c r="D26" s="9">
        <v>3.0</v>
      </c>
      <c r="E26" s="10">
        <v>-4.0</v>
      </c>
      <c r="F26" s="10">
        <v>34.9</v>
      </c>
      <c r="G26" s="10">
        <f t="shared" si="5"/>
        <v>15.60125168</v>
      </c>
      <c r="H26" s="10">
        <v>2.6</v>
      </c>
      <c r="I26" s="11">
        <v>0.14</v>
      </c>
      <c r="J26" s="12">
        <v>1.061</v>
      </c>
      <c r="K26" s="13"/>
      <c r="L26" s="12">
        <v>-1.754</v>
      </c>
      <c r="M26" s="13"/>
      <c r="N26" s="12">
        <v>-0.868</v>
      </c>
      <c r="O26" s="13"/>
      <c r="P26" s="12">
        <v>-0.887</v>
      </c>
      <c r="Q26" s="13"/>
      <c r="R26" s="12">
        <v>0.019000000000000017</v>
      </c>
      <c r="S26" s="12">
        <v>-0.191</v>
      </c>
      <c r="T26" s="12">
        <v>0.031</v>
      </c>
      <c r="U26" s="12">
        <v>-0.023</v>
      </c>
      <c r="V26" s="12">
        <v>-0.046</v>
      </c>
      <c r="W26" s="14">
        <v>0.9132</v>
      </c>
      <c r="X26" s="12">
        <v>-0.09199999999999997</v>
      </c>
      <c r="Y26" s="15" t="s">
        <v>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7">
        <v>3.0</v>
      </c>
      <c r="AN26" s="4" t="s">
        <v>6</v>
      </c>
      <c r="AO26" s="9">
        <v>3.0</v>
      </c>
      <c r="AP26" s="10">
        <v>-4.0</v>
      </c>
      <c r="AQ26" s="10">
        <v>71.75</v>
      </c>
      <c r="AR26" s="10">
        <v>40.0</v>
      </c>
      <c r="AS26" s="10">
        <v>14.58</v>
      </c>
      <c r="AT26" s="10">
        <v>2.6</v>
      </c>
      <c r="AU26" s="11">
        <v>34.9</v>
      </c>
      <c r="AV26" s="9" t="s">
        <v>5</v>
      </c>
      <c r="AW26" s="10">
        <v>0.14</v>
      </c>
      <c r="AX26" s="7">
        <v>0.0</v>
      </c>
      <c r="AY26" s="12">
        <v>0.9132</v>
      </c>
      <c r="AZ26" s="12">
        <v>-0.09199999999999997</v>
      </c>
      <c r="BA26" s="15" t="s">
        <v>4</v>
      </c>
      <c r="BB26" s="10">
        <v>197.67</v>
      </c>
      <c r="BC26" s="10">
        <v>55.41</v>
      </c>
      <c r="BD26" s="16">
        <v>1.0909</v>
      </c>
      <c r="BE26" s="10">
        <v>147.44</v>
      </c>
      <c r="BF26" s="10">
        <v>-243.71</v>
      </c>
      <c r="BG26" s="10">
        <v>-61.57</v>
      </c>
      <c r="BH26" s="10">
        <v>-58.99</v>
      </c>
      <c r="BI26" s="10">
        <v>-62.86</v>
      </c>
      <c r="BJ26" s="10">
        <v>-60.29</v>
      </c>
      <c r="BK26" s="10">
        <v>-26.53</v>
      </c>
      <c r="BL26" s="10">
        <v>6.74</v>
      </c>
      <c r="BM26" s="10">
        <v>-5.13</v>
      </c>
      <c r="BN26" s="11">
        <v>-10.13</v>
      </c>
      <c r="BO26" s="10">
        <f t="shared" si="6"/>
        <v>-0.02765582044</v>
      </c>
      <c r="BP26" s="10">
        <f t="shared" si="7"/>
        <v>-0.03479381443</v>
      </c>
      <c r="BQ26" s="10">
        <f t="shared" si="8"/>
        <v>0.3818318884</v>
      </c>
    </row>
    <row r="27">
      <c r="A27" s="7">
        <v>3.0</v>
      </c>
      <c r="B27" s="8" t="s">
        <v>6</v>
      </c>
      <c r="C27" s="4"/>
      <c r="D27" s="9">
        <v>4.0</v>
      </c>
      <c r="E27" s="10">
        <v>-2.0</v>
      </c>
      <c r="F27" s="10">
        <v>34.9</v>
      </c>
      <c r="G27" s="10">
        <f t="shared" si="5"/>
        <v>15.60125168</v>
      </c>
      <c r="H27" s="10">
        <v>2.7</v>
      </c>
      <c r="I27" s="11">
        <v>0.14</v>
      </c>
      <c r="J27" s="12">
        <v>1.053</v>
      </c>
      <c r="K27" s="13"/>
      <c r="L27" s="12">
        <v>-1.756</v>
      </c>
      <c r="M27" s="13"/>
      <c r="N27" s="12">
        <v>-0.869</v>
      </c>
      <c r="O27" s="13"/>
      <c r="P27" s="12">
        <v>-0.884</v>
      </c>
      <c r="Q27" s="13"/>
      <c r="R27" s="12">
        <v>0.015000000000000013</v>
      </c>
      <c r="S27" s="12">
        <v>-0.099</v>
      </c>
      <c r="T27" s="12">
        <v>0.024</v>
      </c>
      <c r="U27" s="12">
        <v>-0.017</v>
      </c>
      <c r="V27" s="12">
        <v>-0.029</v>
      </c>
      <c r="W27" s="14">
        <v>0.9153</v>
      </c>
      <c r="X27" s="12">
        <v>-0.08899999999999997</v>
      </c>
      <c r="Y27" s="15" t="s">
        <v>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7">
        <v>3.0</v>
      </c>
      <c r="AN27" s="4" t="s">
        <v>6</v>
      </c>
      <c r="AO27" s="9">
        <v>4.0</v>
      </c>
      <c r="AP27" s="10">
        <v>-2.0</v>
      </c>
      <c r="AQ27" s="10">
        <v>71.75</v>
      </c>
      <c r="AR27" s="10">
        <v>40.0</v>
      </c>
      <c r="AS27" s="10">
        <v>14.59</v>
      </c>
      <c r="AT27" s="10">
        <v>2.7</v>
      </c>
      <c r="AU27" s="11">
        <v>34.9</v>
      </c>
      <c r="AV27" s="9" t="s">
        <v>5</v>
      </c>
      <c r="AW27" s="10">
        <v>0.14</v>
      </c>
      <c r="AX27" s="7">
        <v>0.0</v>
      </c>
      <c r="AY27" s="12">
        <v>0.9153</v>
      </c>
      <c r="AZ27" s="12">
        <v>-0.08899999999999997</v>
      </c>
      <c r="BA27" s="15" t="s">
        <v>4</v>
      </c>
      <c r="BB27" s="10">
        <v>201.83</v>
      </c>
      <c r="BC27" s="10">
        <v>55.37</v>
      </c>
      <c r="BD27" s="16">
        <v>1.0909</v>
      </c>
      <c r="BE27" s="10">
        <v>146.47</v>
      </c>
      <c r="BF27" s="10">
        <v>-244.22</v>
      </c>
      <c r="BG27" s="10">
        <v>-61.35</v>
      </c>
      <c r="BH27" s="10">
        <v>-59.75</v>
      </c>
      <c r="BI27" s="10">
        <v>-62.35</v>
      </c>
      <c r="BJ27" s="10">
        <v>-60.75</v>
      </c>
      <c r="BK27" s="10">
        <v>-13.73</v>
      </c>
      <c r="BL27" s="10">
        <v>5.2</v>
      </c>
      <c r="BM27" s="10">
        <v>-3.8</v>
      </c>
      <c r="BN27" s="11">
        <v>-6.3</v>
      </c>
      <c r="BO27" s="10">
        <f t="shared" si="6"/>
        <v>-0.02129227745</v>
      </c>
      <c r="BP27" s="10">
        <f t="shared" si="7"/>
        <v>-0.02594387929</v>
      </c>
      <c r="BQ27" s="10">
        <f t="shared" si="8"/>
        <v>0.4588492353</v>
      </c>
    </row>
    <row r="28">
      <c r="A28" s="7">
        <v>3.0</v>
      </c>
      <c r="B28" s="8" t="s">
        <v>6</v>
      </c>
      <c r="C28" s="4"/>
      <c r="D28" s="9">
        <v>5.0</v>
      </c>
      <c r="E28" s="10">
        <v>2.0</v>
      </c>
      <c r="F28" s="10">
        <v>34.9</v>
      </c>
      <c r="G28" s="10">
        <f t="shared" si="5"/>
        <v>15.60125168</v>
      </c>
      <c r="H28" s="10">
        <v>2.7</v>
      </c>
      <c r="I28" s="11">
        <v>0.14</v>
      </c>
      <c r="J28" s="12">
        <v>1.052</v>
      </c>
      <c r="K28" s="13"/>
      <c r="L28" s="12">
        <v>-1.741</v>
      </c>
      <c r="M28" s="13"/>
      <c r="N28" s="12">
        <v>-0.863</v>
      </c>
      <c r="O28" s="13"/>
      <c r="P28" s="12">
        <v>-0.874</v>
      </c>
      <c r="Q28" s="13"/>
      <c r="R28" s="12">
        <v>0.01100000000000001</v>
      </c>
      <c r="S28" s="12">
        <v>0.097</v>
      </c>
      <c r="T28" s="12">
        <v>0.019</v>
      </c>
      <c r="U28" s="12">
        <v>-0.008</v>
      </c>
      <c r="V28" s="12">
        <v>0.007</v>
      </c>
      <c r="W28" s="14">
        <v>0.9134</v>
      </c>
      <c r="X28" s="12">
        <v>-0.09100000000000008</v>
      </c>
      <c r="Y28" s="15" t="s">
        <v>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7">
        <v>3.0</v>
      </c>
      <c r="AN28" s="4" t="s">
        <v>6</v>
      </c>
      <c r="AO28" s="9">
        <v>5.0</v>
      </c>
      <c r="AP28" s="10">
        <v>2.0</v>
      </c>
      <c r="AQ28" s="10">
        <v>71.85</v>
      </c>
      <c r="AR28" s="10">
        <v>40.0</v>
      </c>
      <c r="AS28" s="10">
        <v>14.56</v>
      </c>
      <c r="AT28" s="10">
        <v>2.7</v>
      </c>
      <c r="AU28" s="11">
        <v>34.9</v>
      </c>
      <c r="AV28" s="9" t="s">
        <v>5</v>
      </c>
      <c r="AW28" s="10">
        <v>0.14</v>
      </c>
      <c r="AX28" s="7">
        <v>0.0</v>
      </c>
      <c r="AY28" s="12">
        <v>0.9134</v>
      </c>
      <c r="AZ28" s="12">
        <v>-0.09100000000000008</v>
      </c>
      <c r="BA28" s="15" t="s">
        <v>4</v>
      </c>
      <c r="BB28" s="10">
        <v>196.0</v>
      </c>
      <c r="BC28" s="10">
        <v>55.32</v>
      </c>
      <c r="BD28" s="16">
        <v>1.0909</v>
      </c>
      <c r="BE28" s="10">
        <v>146.13</v>
      </c>
      <c r="BF28" s="10">
        <v>-241.8</v>
      </c>
      <c r="BG28" s="10">
        <v>-59.86</v>
      </c>
      <c r="BH28" s="10">
        <v>-60.25</v>
      </c>
      <c r="BI28" s="10">
        <v>-60.65</v>
      </c>
      <c r="BJ28" s="10">
        <v>-61.04</v>
      </c>
      <c r="BK28" s="10">
        <v>13.43</v>
      </c>
      <c r="BL28" s="10">
        <v>4.12</v>
      </c>
      <c r="BM28" s="10">
        <v>-1.71</v>
      </c>
      <c r="BN28" s="11">
        <v>1.54</v>
      </c>
      <c r="BO28" s="10">
        <f t="shared" si="6"/>
        <v>-0.0170388751</v>
      </c>
      <c r="BP28" s="10">
        <f t="shared" si="7"/>
        <v>-0.01170190926</v>
      </c>
      <c r="BQ28" s="10">
        <f t="shared" si="8"/>
        <v>0.1146686523</v>
      </c>
    </row>
    <row r="29">
      <c r="A29" s="7">
        <v>3.0</v>
      </c>
      <c r="B29" s="8" t="s">
        <v>6</v>
      </c>
      <c r="C29" s="4"/>
      <c r="D29" s="9">
        <v>6.0</v>
      </c>
      <c r="E29" s="10">
        <v>4.0</v>
      </c>
      <c r="F29" s="10">
        <v>34.8</v>
      </c>
      <c r="G29" s="10">
        <f t="shared" si="5"/>
        <v>15.55654895</v>
      </c>
      <c r="H29" s="10">
        <v>2.7</v>
      </c>
      <c r="I29" s="11">
        <v>0.14</v>
      </c>
      <c r="J29" s="12">
        <v>1.059</v>
      </c>
      <c r="K29" s="12">
        <f>J29/1.378</f>
        <v>0.7685050798</v>
      </c>
      <c r="L29" s="12">
        <v>-1.747</v>
      </c>
      <c r="M29" s="12">
        <f>L29/2.6526</f>
        <v>-0.6585991103</v>
      </c>
      <c r="N29" s="12">
        <v>-0.863</v>
      </c>
      <c r="O29" s="13"/>
      <c r="P29" s="12">
        <v>-0.881</v>
      </c>
      <c r="Q29" s="13"/>
      <c r="R29" s="12">
        <v>0.018000000000000016</v>
      </c>
      <c r="S29" s="12">
        <v>0.192</v>
      </c>
      <c r="T29" s="12">
        <v>0.029</v>
      </c>
      <c r="U29" s="12">
        <v>0.0</v>
      </c>
      <c r="V29" s="12">
        <v>0.026</v>
      </c>
      <c r="W29" s="14">
        <v>0.9163</v>
      </c>
      <c r="X29" s="12">
        <v>-0.08899999999999997</v>
      </c>
      <c r="Y29" s="15" t="s">
        <v>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7">
        <v>3.0</v>
      </c>
      <c r="AN29" s="4" t="s">
        <v>6</v>
      </c>
      <c r="AO29" s="9">
        <v>6.0</v>
      </c>
      <c r="AP29" s="10">
        <v>4.0</v>
      </c>
      <c r="AQ29" s="10">
        <v>72.11</v>
      </c>
      <c r="AR29" s="10">
        <v>40.0</v>
      </c>
      <c r="AS29" s="10">
        <v>14.44</v>
      </c>
      <c r="AT29" s="10">
        <v>2.7</v>
      </c>
      <c r="AU29" s="11">
        <v>34.8</v>
      </c>
      <c r="AV29" s="9" t="s">
        <v>5</v>
      </c>
      <c r="AW29" s="10">
        <v>0.14</v>
      </c>
      <c r="AX29" s="7">
        <v>0.0</v>
      </c>
      <c r="AY29" s="12">
        <v>0.9163</v>
      </c>
      <c r="AZ29" s="12">
        <v>-0.08899999999999997</v>
      </c>
      <c r="BA29" s="15" t="s">
        <v>4</v>
      </c>
      <c r="BB29" s="10">
        <v>201.0</v>
      </c>
      <c r="BC29" s="10">
        <v>55.42</v>
      </c>
      <c r="BD29" s="16">
        <v>1.0909</v>
      </c>
      <c r="BE29" s="10">
        <v>147.27</v>
      </c>
      <c r="BF29" s="10">
        <v>-243.01</v>
      </c>
      <c r="BG29" s="10">
        <v>-59.43</v>
      </c>
      <c r="BH29" s="10">
        <v>-60.85</v>
      </c>
      <c r="BI29" s="10">
        <v>-60.65</v>
      </c>
      <c r="BJ29" s="10">
        <v>-62.08</v>
      </c>
      <c r="BK29" s="10">
        <v>26.72</v>
      </c>
      <c r="BL29" s="10">
        <v>6.36</v>
      </c>
      <c r="BM29" s="10">
        <v>0.1</v>
      </c>
      <c r="BN29" s="11">
        <v>5.62</v>
      </c>
      <c r="BO29" s="10">
        <f t="shared" si="6"/>
        <v>-0.02617176248</v>
      </c>
      <c r="BP29" s="10">
        <f t="shared" si="7"/>
        <v>0.0006790249202</v>
      </c>
      <c r="BQ29" s="10">
        <f t="shared" si="8"/>
        <v>0.2103293413</v>
      </c>
    </row>
    <row r="30">
      <c r="A30" s="7">
        <v>3.0</v>
      </c>
      <c r="B30" s="8" t="s">
        <v>6</v>
      </c>
      <c r="C30" s="4"/>
      <c r="D30" s="9">
        <v>7.0</v>
      </c>
      <c r="E30" s="10">
        <v>6.0</v>
      </c>
      <c r="F30" s="10">
        <v>34.8</v>
      </c>
      <c r="G30" s="10">
        <f t="shared" si="5"/>
        <v>15.55654895</v>
      </c>
      <c r="H30" s="10">
        <v>2.7</v>
      </c>
      <c r="I30" s="11">
        <v>0.14</v>
      </c>
      <c r="J30" s="12">
        <v>1.052</v>
      </c>
      <c r="K30" s="13"/>
      <c r="L30" s="12">
        <v>-1.724</v>
      </c>
      <c r="M30" s="13"/>
      <c r="N30" s="12">
        <v>-0.858</v>
      </c>
      <c r="O30" s="13"/>
      <c r="P30" s="12">
        <v>-0.868</v>
      </c>
      <c r="Q30" s="13"/>
      <c r="R30" s="12">
        <v>0.010000000000000009</v>
      </c>
      <c r="S30" s="12">
        <v>0.286</v>
      </c>
      <c r="T30" s="12">
        <v>0.018</v>
      </c>
      <c r="U30" s="12">
        <v>0.015</v>
      </c>
      <c r="V30" s="12">
        <v>0.043</v>
      </c>
      <c r="W30" s="14">
        <v>0.9141</v>
      </c>
      <c r="X30" s="12">
        <v>-0.09100000000000008</v>
      </c>
      <c r="Y30" s="15" t="s">
        <v>4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7">
        <v>3.0</v>
      </c>
      <c r="AN30" s="4" t="s">
        <v>6</v>
      </c>
      <c r="AO30" s="9">
        <v>7.0</v>
      </c>
      <c r="AP30" s="10">
        <v>6.0</v>
      </c>
      <c r="AQ30" s="10">
        <v>72.26</v>
      </c>
      <c r="AR30" s="10">
        <v>40.0</v>
      </c>
      <c r="AS30" s="10">
        <v>14.37</v>
      </c>
      <c r="AT30" s="10">
        <v>2.7</v>
      </c>
      <c r="AU30" s="11">
        <v>34.8</v>
      </c>
      <c r="AV30" s="9" t="s">
        <v>5</v>
      </c>
      <c r="AW30" s="10">
        <v>0.14</v>
      </c>
      <c r="AX30" s="7">
        <v>0.0</v>
      </c>
      <c r="AY30" s="12">
        <v>0.9141</v>
      </c>
      <c r="AZ30" s="12">
        <v>-0.09100000000000008</v>
      </c>
      <c r="BA30" s="15" t="s">
        <v>4</v>
      </c>
      <c r="BB30" s="10">
        <v>200.5</v>
      </c>
      <c r="BC30" s="10">
        <v>55.4</v>
      </c>
      <c r="BD30" s="16">
        <v>1.0909</v>
      </c>
      <c r="BE30" s="10">
        <v>146.16</v>
      </c>
      <c r="BF30" s="10">
        <v>-239.62</v>
      </c>
      <c r="BG30" s="10">
        <v>-58.33</v>
      </c>
      <c r="BH30" s="10">
        <v>-60.73</v>
      </c>
      <c r="BI30" s="10">
        <v>-59.08</v>
      </c>
      <c r="BJ30" s="10">
        <v>-61.48</v>
      </c>
      <c r="BK30" s="10">
        <v>39.73</v>
      </c>
      <c r="BL30" s="10">
        <v>3.86</v>
      </c>
      <c r="BM30" s="10">
        <v>3.4</v>
      </c>
      <c r="BN30" s="11">
        <v>9.45</v>
      </c>
      <c r="BO30" s="10">
        <f t="shared" si="6"/>
        <v>-0.016108839</v>
      </c>
      <c r="BP30" s="10">
        <f t="shared" si="7"/>
        <v>0.02326217843</v>
      </c>
      <c r="BQ30" s="10">
        <f t="shared" si="8"/>
        <v>0.2378555248</v>
      </c>
    </row>
    <row r="31">
      <c r="A31" s="7">
        <v>3.0</v>
      </c>
      <c r="B31" s="8" t="s">
        <v>6</v>
      </c>
      <c r="C31" s="4"/>
      <c r="D31" s="9">
        <v>8.0</v>
      </c>
      <c r="E31" s="10">
        <v>8.0</v>
      </c>
      <c r="F31" s="10">
        <v>34.8</v>
      </c>
      <c r="G31" s="10">
        <f t="shared" si="5"/>
        <v>15.55654895</v>
      </c>
      <c r="H31" s="10">
        <v>2.6</v>
      </c>
      <c r="I31" s="11">
        <v>0.14</v>
      </c>
      <c r="J31" s="12">
        <v>1.037</v>
      </c>
      <c r="K31" s="13"/>
      <c r="L31" s="12">
        <v>-1.669</v>
      </c>
      <c r="M31" s="13"/>
      <c r="N31" s="12">
        <v>-0.834</v>
      </c>
      <c r="O31" s="13"/>
      <c r="P31" s="12">
        <v>-0.836</v>
      </c>
      <c r="Q31" s="13"/>
      <c r="R31" s="12">
        <v>0.0020000000000000018</v>
      </c>
      <c r="S31" s="12">
        <v>0.377</v>
      </c>
      <c r="T31" s="12">
        <v>0.004</v>
      </c>
      <c r="U31" s="12">
        <v>0.031</v>
      </c>
      <c r="V31" s="12">
        <v>0.063</v>
      </c>
      <c r="W31" s="14">
        <v>0.9123</v>
      </c>
      <c r="X31" s="12">
        <v>-0.09099999999999997</v>
      </c>
      <c r="Y31" s="15" t="s">
        <v>4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7">
        <v>3.0</v>
      </c>
      <c r="AN31" s="4" t="s">
        <v>6</v>
      </c>
      <c r="AO31" s="9">
        <v>8.0</v>
      </c>
      <c r="AP31" s="10">
        <v>8.0</v>
      </c>
      <c r="AQ31" s="10">
        <v>72.3</v>
      </c>
      <c r="AR31" s="10">
        <v>40.0</v>
      </c>
      <c r="AS31" s="10">
        <v>14.31</v>
      </c>
      <c r="AT31" s="10">
        <v>2.6</v>
      </c>
      <c r="AU31" s="11">
        <v>34.8</v>
      </c>
      <c r="AV31" s="9" t="s">
        <v>5</v>
      </c>
      <c r="AW31" s="10">
        <v>0.14</v>
      </c>
      <c r="AX31" s="7">
        <v>0.0</v>
      </c>
      <c r="AY31" s="12">
        <v>0.9123</v>
      </c>
      <c r="AZ31" s="12">
        <v>-0.09099999999999997</v>
      </c>
      <c r="BA31" s="15" t="s">
        <v>4</v>
      </c>
      <c r="BB31" s="10">
        <v>200.0</v>
      </c>
      <c r="BC31" s="10">
        <v>55.43</v>
      </c>
      <c r="BD31" s="16">
        <v>1.0909</v>
      </c>
      <c r="BE31" s="10">
        <v>143.91</v>
      </c>
      <c r="BF31" s="10">
        <v>-231.68</v>
      </c>
      <c r="BG31" s="10">
        <v>-56.07</v>
      </c>
      <c r="BH31" s="10">
        <v>-59.61</v>
      </c>
      <c r="BI31" s="10">
        <v>-56.23</v>
      </c>
      <c r="BJ31" s="10">
        <v>-59.77</v>
      </c>
      <c r="BK31" s="10">
        <v>52.28</v>
      </c>
      <c r="BL31" s="10">
        <v>0.83</v>
      </c>
      <c r="BM31" s="10">
        <v>6.73</v>
      </c>
      <c r="BN31" s="11">
        <v>13.92</v>
      </c>
      <c r="BO31" s="10">
        <f t="shared" si="6"/>
        <v>-0.003582527624</v>
      </c>
      <c r="BP31" s="10">
        <f t="shared" si="7"/>
        <v>0.04676533945</v>
      </c>
      <c r="BQ31" s="10">
        <f t="shared" si="8"/>
        <v>0.2662586075</v>
      </c>
    </row>
    <row r="32">
      <c r="A32" s="5" t="s">
        <v>7</v>
      </c>
    </row>
    <row r="33">
      <c r="A33" s="5" t="s">
        <v>8</v>
      </c>
      <c r="B33" s="5" t="s">
        <v>9</v>
      </c>
      <c r="C33" s="5" t="s">
        <v>10</v>
      </c>
    </row>
    <row r="34">
      <c r="A34" s="1">
        <v>6.0</v>
      </c>
      <c r="B34" s="17">
        <f>(-L17)/H1</f>
        <v>0.5467805675</v>
      </c>
      <c r="C34" s="17">
        <f>(J17)/I1</f>
        <v>0.7905607924</v>
      </c>
    </row>
    <row r="35">
      <c r="A35" s="1">
        <v>-2.0</v>
      </c>
      <c r="B35" s="17">
        <f>(-L19)/H2</f>
        <v>0.5124063191</v>
      </c>
      <c r="C35" s="17">
        <f>(J19)/I2</f>
        <v>0.7142066704</v>
      </c>
    </row>
    <row r="36">
      <c r="A36" s="1">
        <v>-6.0</v>
      </c>
      <c r="B36" s="17">
        <f t="shared" ref="B36:B37" si="9">(-L21)/H3</f>
        <v>0.5400633161</v>
      </c>
      <c r="C36" s="17">
        <f t="shared" ref="C36:C37" si="10">(J21)/I3</f>
        <v>0.7645756608</v>
      </c>
    </row>
    <row r="37">
      <c r="A37" s="1">
        <v>-8.0</v>
      </c>
      <c r="B37" s="17">
        <f t="shared" si="9"/>
        <v>0.5414508278</v>
      </c>
      <c r="C37" s="17">
        <f t="shared" si="10"/>
        <v>0.7911771056</v>
      </c>
    </row>
  </sheetData>
  <drawing r:id="rId1"/>
</worksheet>
</file>